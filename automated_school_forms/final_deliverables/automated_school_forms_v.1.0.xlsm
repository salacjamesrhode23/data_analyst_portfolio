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drawings/drawing4.xml" ContentType="application/vnd.openxmlformats-officedocument.drawing+xml"/>
  <Override PartName="/xl/slicers/slicer2.xml" ContentType="application/vnd.ms-excel.slicer+xml"/>
  <Override PartName="/xl/drawings/drawing5.xml" ContentType="application/vnd.openxmlformats-officedocument.drawing+xml"/>
  <Override PartName="/xl/slicers/slicer3.xml" ContentType="application/vnd.ms-excel.slicer+xml"/>
  <Override PartName="/xl/drawings/drawing6.xml" ContentType="application/vnd.openxmlformats-officedocument.drawing+xml"/>
  <Override PartName="/xl/slicers/slicer4.xml" ContentType="application/vnd.ms-excel.slicer+xml"/>
  <Override PartName="/xl/drawings/drawing7.xml" ContentType="application/vnd.openxmlformats-officedocument.drawing+xml"/>
  <Override PartName="/xl/slicers/slicer5.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3" codeName="{E757BCB4-07E6-AE0B-56E0-F0EEF7A6E26C}"/>
  <workbookPr codeName="ThisWorkbook"/>
  <mc:AlternateContent xmlns:mc="http://schemas.openxmlformats.org/markup-compatibility/2006">
    <mc:Choice Requires="x15">
      <x15ac:absPath xmlns:x15ac="http://schemas.microsoft.com/office/spreadsheetml/2010/11/ac" url="C:\Users\Administrator\Dropbox\PC (2)\Desktop\Portfolio_Building\Automated-DepED-School-Forms\final deliverables\"/>
    </mc:Choice>
  </mc:AlternateContent>
  <xr:revisionPtr revIDLastSave="0" documentId="13_ncr:1_{DDAD14F0-CB7B-41AC-9927-B3F2F4FE4919}" xr6:coauthVersionLast="47" xr6:coauthVersionMax="47" xr10:uidLastSave="{00000000-0000-0000-0000-000000000000}"/>
  <bookViews>
    <workbookView xWindow="-108" yWindow="-108" windowWidth="23256" windowHeight="12456" activeTab="3" xr2:uid="{00000000-000D-0000-FFFF-FFFF00000000}"/>
  </bookViews>
  <sheets>
    <sheet name="GENERAL_INFORMATION" sheetId="4" r:id="rId1"/>
    <sheet name="LEARNERS_INFORMATION" sheetId="2" r:id="rId2"/>
    <sheet name="DATA_INPUT" sheetId="11" state="hidden" r:id="rId3"/>
    <sheet name="SCHOOL_FORM_9" sheetId="7" r:id="rId4"/>
    <sheet name="SCHOOL_FORM_9_page2" sheetId="8" r:id="rId5"/>
    <sheet name="SCHOOL_FORM_10_g11_only" sheetId="14" r:id="rId6"/>
    <sheet name="SCHOOL_FORM_10_g12_only " sheetId="15" r:id="rId7"/>
  </sheets>
  <definedNames>
    <definedName name="AdmissionDate">DATA_INPUT!$C$16</definedName>
    <definedName name="Adviser">GENERAL_INFORMATION!$D$12</definedName>
    <definedName name="Age">DATA_INPUT!$C$6</definedName>
    <definedName name="Date_of_Birth" localSheetId="1">tbl_learners_info[Date of Birth]</definedName>
    <definedName name="Date_of_SHS_Admission" localSheetId="1">tbl_learners_info[Date of SHS Admission]</definedName>
    <definedName name="DOB">DATA_INPUT!$C$14</definedName>
    <definedName name="First_Name" localSheetId="1">tbl_learners_info[First Name]</definedName>
    <definedName name="FirstName">DATA_INPUT!$C$11</definedName>
    <definedName name="Grade_Level">GENERAL_INFORMATION!$D$7</definedName>
    <definedName name="Last_Name" localSheetId="1">tbl_learners_info[Last Name]</definedName>
    <definedName name="LastName">DATA_INPUT!$C$10</definedName>
    <definedName name="Lookup_Student_Name">DATA_INPUT!$E$13</definedName>
    <definedName name="LRN">DATA_INPUT!$C$5</definedName>
    <definedName name="LRN_SF10">DATA_INPUT!$C$13</definedName>
    <definedName name="Middle_Name" localSheetId="1">tbl_learners_info[Middle Name]</definedName>
    <definedName name="MiddleName">DATA_INPUT!$C$12</definedName>
    <definedName name="month_1">DATA_INPUT!$E$38</definedName>
    <definedName name="month_10">DATA_INPUT!$E$47</definedName>
    <definedName name="month_11">DATA_INPUT!$E$48</definedName>
    <definedName name="month_2">DATA_INPUT!$E$39</definedName>
    <definedName name="month_3">DATA_INPUT!$E$40</definedName>
    <definedName name="month_4">DATA_INPUT!$E$41</definedName>
    <definedName name="month_5">DATA_INPUT!$E$42</definedName>
    <definedName name="month_6">DATA_INPUT!$E$43</definedName>
    <definedName name="month_7">DATA_INPUT!$E$44</definedName>
    <definedName name="month_8">DATA_INPUT!$E$45</definedName>
    <definedName name="month_9">DATA_INPUT!$E$46</definedName>
    <definedName name="_xlnm.Print_Area" localSheetId="5">SCHOOL_FORM_10_g11_only!$E$4:$K$80</definedName>
    <definedName name="_xlnm.Print_Area" localSheetId="6">'SCHOOL_FORM_10_g12_only '!$E$4:$L$89</definedName>
    <definedName name="_xlnm.Print_Area" localSheetId="3">SCHOOL_FORM_9!$E$3:$AA$33</definedName>
    <definedName name="_xlnm.Print_Area" localSheetId="4">SCHOOL_FORM_9_page2!$E$3:$S$38</definedName>
    <definedName name="q1_grade_range">DATA_INPUT!#REF!</definedName>
    <definedName name="School_ID">GENERAL_INFORMATION!$D$6</definedName>
    <definedName name="School_Name">GENERAL_INFORMATION!$D$5</definedName>
    <definedName name="School_Principal">GENERAL_INFORMATION!$D$13</definedName>
    <definedName name="School_Year">GENERAL_INFORMATION!$D$8</definedName>
    <definedName name="Section">GENERAL_INFORMATION!$D$11</definedName>
    <definedName name="sem1_average">DATA_INPUT!$V$17</definedName>
    <definedName name="sem1_sub1">DATA_INPUT!$M$4</definedName>
    <definedName name="sem1_sub1_range">tbl_learners_info[10]</definedName>
    <definedName name="sem1_sub10">DATA_INPUT!$M$13</definedName>
    <definedName name="sem1_sub11">DATA_INPUT!$M$14</definedName>
    <definedName name="sem1_sub12">DATA_INPUT!$M$15</definedName>
    <definedName name="sem1_sub2">DATA_INPUT!$M$5</definedName>
    <definedName name="sem1_sub3">DATA_INPUT!$M$6</definedName>
    <definedName name="sem1_sub4">DATA_INPUT!$M$7</definedName>
    <definedName name="sem1_sub5">DATA_INPUT!$M$8</definedName>
    <definedName name="sem1_sub6">DATA_INPUT!$M$9</definedName>
    <definedName name="sem1_sub7">DATA_INPUT!$M$10</definedName>
    <definedName name="sem1_sub8">DATA_INPUT!$M$11</definedName>
    <definedName name="sem1_sub9">DATA_INPUT!$M$12</definedName>
    <definedName name="sem2_average">DATA_INPUT!$V$39</definedName>
    <definedName name="sem2_sub1">DATA_INPUT!$M$25</definedName>
    <definedName name="sem2_sub10">DATA_INPUT!$M$34</definedName>
    <definedName name="sem2_sub2">DATA_INPUT!$M$26</definedName>
    <definedName name="sem2_sub3">DATA_INPUT!$M$27</definedName>
    <definedName name="sem2_sub4">DATA_INPUT!$M$28</definedName>
    <definedName name="sem2_sub5">DATA_INPUT!$M$29</definedName>
    <definedName name="sem2_sub6">DATA_INPUT!$M$30</definedName>
    <definedName name="sem2_sub7">DATA_INPUT!$M$31</definedName>
    <definedName name="sem2_sub8">DATA_INPUT!$M$32</definedName>
    <definedName name="sem2_sub9">DATA_INPUT!$M$33</definedName>
    <definedName name="Sex">DATA_INPUT!$C$7</definedName>
    <definedName name="Sex_SF10">DATA_INPUT!$C$15</definedName>
    <definedName name="Slicer_Student_Name1">#N/A</definedName>
    <definedName name="Strand">GENERAL_INFORMATION!$D$10</definedName>
    <definedName name="Student_FullName">DATA_INPUT!$C$4</definedName>
    <definedName name="Track">GENERAL_INFORMATION!$D$9</definedName>
    <definedName name="Track_Strand">GENERAL_INFORMATION!#REF!</definedName>
  </definedNames>
  <calcPr calcId="191029"/>
  <pivotCaches>
    <pivotCache cacheId="3"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5" i="2" l="1"/>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BJ35" i="2" l="1"/>
  <c r="BJ36" i="2"/>
  <c r="BJ37" i="2"/>
  <c r="BJ38" i="2"/>
  <c r="BJ39" i="2"/>
  <c r="BJ40" i="2"/>
  <c r="BJ41" i="2"/>
  <c r="BJ42" i="2"/>
  <c r="BJ43" i="2"/>
  <c r="BJ44" i="2"/>
  <c r="BJ45" i="2"/>
  <c r="BJ46" i="2"/>
  <c r="BJ47" i="2"/>
  <c r="BJ48" i="2"/>
  <c r="BJ49" i="2"/>
  <c r="BJ50" i="2"/>
  <c r="BJ51" i="2"/>
  <c r="BJ52" i="2"/>
  <c r="BJ53" i="2"/>
  <c r="BJ54" i="2"/>
  <c r="BJ55" i="2"/>
  <c r="BJ56" i="2"/>
  <c r="BJ57" i="2"/>
  <c r="BJ58" i="2"/>
  <c r="BJ59" i="2"/>
  <c r="BJ60" i="2"/>
  <c r="BJ61" i="2"/>
  <c r="BJ62" i="2"/>
  <c r="BJ63" i="2"/>
  <c r="BJ64" i="2"/>
  <c r="BJ65" i="2"/>
  <c r="BJ66" i="2"/>
  <c r="BJ67" i="2"/>
  <c r="BJ68" i="2"/>
  <c r="BJ69" i="2"/>
  <c r="BJ70" i="2"/>
  <c r="BJ71" i="2"/>
  <c r="BJ72" i="2"/>
  <c r="BJ73" i="2"/>
  <c r="BJ74" i="2"/>
  <c r="BJ75" i="2"/>
  <c r="BJ76" i="2"/>
  <c r="BJ77" i="2"/>
  <c r="BJ78" i="2"/>
  <c r="BJ79" i="2"/>
  <c r="BJ80" i="2"/>
  <c r="BJ82" i="2"/>
  <c r="BJ83" i="2"/>
  <c r="BJ84" i="2"/>
  <c r="BJ85" i="2"/>
  <c r="BJ86" i="2"/>
  <c r="BJ87" i="2"/>
  <c r="BJ88" i="2"/>
  <c r="BJ89" i="2"/>
  <c r="BJ90" i="2"/>
  <c r="BJ91" i="2"/>
  <c r="BJ92" i="2"/>
  <c r="BJ93" i="2"/>
  <c r="BJ94" i="2"/>
  <c r="BJ95" i="2"/>
  <c r="BJ96" i="2"/>
  <c r="BJ97" i="2"/>
  <c r="BJ98" i="2"/>
  <c r="BJ99" i="2"/>
  <c r="BJ100" i="2"/>
  <c r="AO35" i="2"/>
  <c r="AO36" i="2"/>
  <c r="AO37" i="2"/>
  <c r="AO38" i="2"/>
  <c r="AO39" i="2"/>
  <c r="AO40" i="2"/>
  <c r="AO41" i="2"/>
  <c r="AO42" i="2"/>
  <c r="AO43" i="2"/>
  <c r="AO44"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O70" i="2"/>
  <c r="AO71" i="2"/>
  <c r="AO72" i="2"/>
  <c r="AO73" i="2"/>
  <c r="AO74" i="2"/>
  <c r="AO75" i="2"/>
  <c r="AO76" i="2"/>
  <c r="AO77" i="2"/>
  <c r="AO78" i="2"/>
  <c r="AO79" i="2"/>
  <c r="AO80" i="2"/>
  <c r="AO82" i="2"/>
  <c r="AO83" i="2"/>
  <c r="AO84" i="2"/>
  <c r="AO85" i="2"/>
  <c r="AO86" i="2"/>
  <c r="AO87" i="2"/>
  <c r="AO88" i="2"/>
  <c r="AO89" i="2"/>
  <c r="AO90" i="2"/>
  <c r="AO91" i="2"/>
  <c r="AO92" i="2"/>
  <c r="AO93" i="2"/>
  <c r="AO94" i="2"/>
  <c r="AO95" i="2"/>
  <c r="AO96" i="2"/>
  <c r="AO97" i="2"/>
  <c r="AO98" i="2"/>
  <c r="AO99" i="2"/>
  <c r="AO100" i="2"/>
  <c r="M26" i="11" a="1"/>
  <c r="M26" i="11" s="1"/>
  <c r="M27" i="11" a="1"/>
  <c r="M27" i="11" s="1"/>
  <c r="M28" i="11" a="1"/>
  <c r="M28" i="11" s="1"/>
  <c r="M29" i="11" a="1"/>
  <c r="M29" i="11" s="1"/>
  <c r="M30" i="11" a="1"/>
  <c r="M30" i="11" s="1"/>
  <c r="M31" i="11" a="1"/>
  <c r="M31" i="11" s="1"/>
  <c r="M32" i="11" a="1"/>
  <c r="M32" i="11" s="1"/>
  <c r="M33" i="11" a="1"/>
  <c r="M33" i="11" s="1"/>
  <c r="M34" i="11" a="1"/>
  <c r="M34" i="11" s="1"/>
  <c r="M25" i="11" a="1"/>
  <c r="M25" i="11" s="1"/>
  <c r="C32" i="11"/>
  <c r="M4" i="11" a="1"/>
  <c r="M4" i="11" s="1"/>
  <c r="N4" i="11" s="1"/>
  <c r="M5" i="11" a="1"/>
  <c r="M5" i="11" s="1"/>
  <c r="N5" i="11" s="1"/>
  <c r="M6" i="11" a="1"/>
  <c r="M6" i="11" s="1"/>
  <c r="N6" i="11" s="1"/>
  <c r="M7" i="11" a="1"/>
  <c r="M7" i="11" s="1"/>
  <c r="N7" i="11" s="1"/>
  <c r="M8" i="11" a="1"/>
  <c r="M8" i="11" s="1"/>
  <c r="N8" i="11" s="1"/>
  <c r="M9" i="11" a="1"/>
  <c r="M9" i="11" s="1"/>
  <c r="N9" i="11" s="1"/>
  <c r="M10" i="11" a="1"/>
  <c r="M10" i="11" s="1"/>
  <c r="N10" i="11" s="1"/>
  <c r="M11" i="11" a="1"/>
  <c r="M11" i="11" s="1"/>
  <c r="N11" i="11" s="1"/>
  <c r="M12" i="11" a="1"/>
  <c r="M12" i="11" s="1"/>
  <c r="N12" i="11" s="1"/>
  <c r="M13" i="11" a="1"/>
  <c r="M13" i="11" s="1"/>
  <c r="N13" i="11" s="1"/>
  <c r="C26" i="11"/>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BJ81" i="2" s="1"/>
  <c r="P82" i="2"/>
  <c r="P83" i="2"/>
  <c r="P84" i="2"/>
  <c r="P85" i="2"/>
  <c r="P86" i="2"/>
  <c r="P87" i="2"/>
  <c r="P88" i="2"/>
  <c r="P89" i="2"/>
  <c r="P90" i="2"/>
  <c r="P91" i="2"/>
  <c r="P92" i="2"/>
  <c r="P93" i="2"/>
  <c r="P94" i="2"/>
  <c r="P95" i="2"/>
  <c r="P96" i="2"/>
  <c r="P97" i="2"/>
  <c r="P98" i="2"/>
  <c r="P99" i="2"/>
  <c r="P100" i="2"/>
  <c r="P6" i="2"/>
  <c r="P7" i="2"/>
  <c r="P8" i="2"/>
  <c r="P5" i="2"/>
  <c r="Q6" i="2"/>
  <c r="T6" i="2" s="1"/>
  <c r="Q7" i="2"/>
  <c r="T7" i="2" s="1"/>
  <c r="Q8" i="2"/>
  <c r="T8" i="2" s="1"/>
  <c r="Q9" i="2"/>
  <c r="T9" i="2" s="1"/>
  <c r="Q10" i="2"/>
  <c r="T10" i="2" s="1"/>
  <c r="Q11" i="2"/>
  <c r="T11" i="2" s="1"/>
  <c r="Q12" i="2"/>
  <c r="T12" i="2" s="1"/>
  <c r="Q13" i="2"/>
  <c r="T13" i="2" s="1"/>
  <c r="Q14" i="2"/>
  <c r="T14" i="2" s="1"/>
  <c r="Q15" i="2"/>
  <c r="T15" i="2" s="1"/>
  <c r="Q16" i="2"/>
  <c r="T16" i="2" s="1"/>
  <c r="Q17" i="2"/>
  <c r="T17" i="2" s="1"/>
  <c r="Q18" i="2"/>
  <c r="T18" i="2" s="1"/>
  <c r="Q19" i="2"/>
  <c r="T19" i="2" s="1"/>
  <c r="Q20" i="2"/>
  <c r="T20" i="2" s="1"/>
  <c r="Q21" i="2"/>
  <c r="T21" i="2" s="1"/>
  <c r="Q22" i="2"/>
  <c r="T22" i="2" s="1"/>
  <c r="Q23" i="2"/>
  <c r="T23" i="2" s="1"/>
  <c r="AO23" i="2" s="1"/>
  <c r="Q24" i="2"/>
  <c r="T24" i="2" s="1"/>
  <c r="Q25" i="2"/>
  <c r="T25" i="2" s="1"/>
  <c r="Q26" i="2"/>
  <c r="T26" i="2" s="1"/>
  <c r="BJ26" i="2" s="1"/>
  <c r="Q27" i="2"/>
  <c r="T27" i="2" s="1"/>
  <c r="Q28" i="2"/>
  <c r="T28" i="2" s="1"/>
  <c r="Q29" i="2"/>
  <c r="T29" i="2" s="1"/>
  <c r="Q30" i="2"/>
  <c r="T30" i="2" s="1"/>
  <c r="BJ30" i="2" s="1"/>
  <c r="Q31" i="2"/>
  <c r="T31" i="2" s="1"/>
  <c r="AO31" i="2" s="1"/>
  <c r="Q32" i="2"/>
  <c r="T32" i="2" s="1"/>
  <c r="Q33" i="2"/>
  <c r="T33" i="2" s="1"/>
  <c r="Q34" i="2"/>
  <c r="T34" i="2" s="1"/>
  <c r="BJ34" i="2" s="1"/>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5" i="2"/>
  <c r="T5" i="2" s="1"/>
  <c r="AO33" i="2" l="1"/>
  <c r="AO34" i="2"/>
  <c r="AO32" i="2"/>
  <c r="AO25" i="2"/>
  <c r="AO24" i="2"/>
  <c r="AO16" i="2"/>
  <c r="AO9" i="2"/>
  <c r="BJ7" i="2"/>
  <c r="AO17" i="2"/>
  <c r="AO5" i="2"/>
  <c r="O4" i="11"/>
  <c r="P34" i="11"/>
  <c r="P30" i="11"/>
  <c r="P26" i="11"/>
  <c r="P10" i="11"/>
  <c r="P6" i="11"/>
  <c r="O25" i="11"/>
  <c r="P32" i="11"/>
  <c r="P8" i="11"/>
  <c r="P4" i="11"/>
  <c r="O7" i="11"/>
  <c r="O34" i="11"/>
  <c r="O30" i="11"/>
  <c r="O26" i="11"/>
  <c r="O10" i="11"/>
  <c r="O6" i="11"/>
  <c r="O29" i="11"/>
  <c r="O9" i="11"/>
  <c r="P28" i="11"/>
  <c r="O27" i="11"/>
  <c r="P33" i="11"/>
  <c r="P29" i="11"/>
  <c r="P25" i="11"/>
  <c r="P9" i="11"/>
  <c r="P5" i="11"/>
  <c r="O33" i="11"/>
  <c r="O5" i="11"/>
  <c r="P12" i="11"/>
  <c r="C12" i="11"/>
  <c r="O11" i="11"/>
  <c r="O32" i="11"/>
  <c r="O28" i="11"/>
  <c r="O12" i="11"/>
  <c r="O8" i="11"/>
  <c r="P13" i="11"/>
  <c r="P31" i="11"/>
  <c r="P27" i="11"/>
  <c r="P11" i="11"/>
  <c r="P7" i="11"/>
  <c r="O13" i="11"/>
  <c r="O31" i="11"/>
  <c r="BJ8" i="2"/>
  <c r="BJ31" i="2"/>
  <c r="BJ23" i="2"/>
  <c r="BJ15" i="2"/>
  <c r="AO30" i="2"/>
  <c r="BJ21" i="2"/>
  <c r="AO28" i="2"/>
  <c r="AO20" i="2"/>
  <c r="AO12" i="2"/>
  <c r="AO14" i="2"/>
  <c r="BJ29" i="2"/>
  <c r="AO27" i="2"/>
  <c r="AO19" i="2"/>
  <c r="AO11" i="2"/>
  <c r="BJ6" i="2"/>
  <c r="AO13" i="2"/>
  <c r="AO26" i="2"/>
  <c r="AO18" i="2"/>
  <c r="AO10" i="2"/>
  <c r="BJ22" i="2"/>
  <c r="AO22" i="2"/>
  <c r="BJ18" i="2"/>
  <c r="AO15" i="2"/>
  <c r="BJ14" i="2"/>
  <c r="AO8" i="2"/>
  <c r="BJ11" i="2"/>
  <c r="AO7" i="2"/>
  <c r="BJ13" i="2"/>
  <c r="BJ12" i="2"/>
  <c r="BJ10" i="2"/>
  <c r="BJ9" i="2"/>
  <c r="AO6" i="2"/>
  <c r="AO29" i="2"/>
  <c r="AO21" i="2"/>
  <c r="BJ28" i="2"/>
  <c r="BJ20" i="2"/>
  <c r="BJ27" i="2"/>
  <c r="BJ19" i="2"/>
  <c r="BJ33" i="2"/>
  <c r="BJ25" i="2"/>
  <c r="BJ17" i="2"/>
  <c r="BJ32" i="2"/>
  <c r="BJ24" i="2"/>
  <c r="BJ16" i="2"/>
  <c r="AO81" i="2"/>
  <c r="N32" i="11"/>
  <c r="BD3" i="2"/>
  <c r="AP3" i="2"/>
  <c r="N25" i="11"/>
  <c r="AV3" i="2"/>
  <c r="N28" i="11"/>
  <c r="N31" i="11"/>
  <c r="BB3" i="2"/>
  <c r="AX3" i="2"/>
  <c r="N29" i="11"/>
  <c r="BH3" i="2"/>
  <c r="N34" i="11"/>
  <c r="N27" i="11"/>
  <c r="AT3" i="2"/>
  <c r="AZ3" i="2"/>
  <c r="N30" i="11"/>
  <c r="BF3" i="2"/>
  <c r="N33" i="11"/>
  <c r="AR3" i="2"/>
  <c r="N26" i="11"/>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5" i="2"/>
  <c r="R4" i="11" l="1"/>
  <c r="T4" i="11"/>
  <c r="T12" i="11"/>
  <c r="R12" i="11"/>
  <c r="T7" i="11"/>
  <c r="R7" i="11"/>
  <c r="Q6" i="11"/>
  <c r="S6" i="11"/>
  <c r="Q11" i="11"/>
  <c r="S11" i="11"/>
  <c r="S5" i="11"/>
  <c r="Q5" i="11"/>
  <c r="S8" i="11"/>
  <c r="Q8" i="11"/>
  <c r="T9" i="11"/>
  <c r="R9" i="11"/>
  <c r="R5" i="11"/>
  <c r="T5" i="11"/>
  <c r="S10" i="11"/>
  <c r="Q10" i="11"/>
  <c r="R11" i="11"/>
  <c r="T11" i="11"/>
  <c r="S4" i="11"/>
  <c r="Q4" i="11"/>
  <c r="Q12" i="11"/>
  <c r="S12" i="11"/>
  <c r="S7" i="11"/>
  <c r="Q7" i="11"/>
  <c r="R6" i="11"/>
  <c r="T6" i="11"/>
  <c r="S13" i="11"/>
  <c r="Q13" i="11"/>
  <c r="T8" i="11"/>
  <c r="R8" i="11"/>
  <c r="R13" i="11"/>
  <c r="T13" i="11"/>
  <c r="T10" i="11"/>
  <c r="R10" i="11"/>
  <c r="Q9" i="11"/>
  <c r="S9" i="11"/>
  <c r="S25" i="11"/>
  <c r="Q25" i="11"/>
  <c r="S32" i="11"/>
  <c r="Q32" i="11"/>
  <c r="S33" i="11"/>
  <c r="Q33" i="11"/>
  <c r="T32" i="11"/>
  <c r="R32" i="11"/>
  <c r="T33" i="11"/>
  <c r="R33" i="11"/>
  <c r="Q29" i="11"/>
  <c r="S29" i="11"/>
  <c r="S26" i="11"/>
  <c r="Q26" i="11"/>
  <c r="R25" i="11"/>
  <c r="T25" i="11"/>
  <c r="Q27" i="11"/>
  <c r="S27" i="11"/>
  <c r="Q30" i="11"/>
  <c r="S30" i="11"/>
  <c r="T29" i="11"/>
  <c r="R29" i="11"/>
  <c r="R27" i="11"/>
  <c r="T27" i="11"/>
  <c r="Q34" i="11"/>
  <c r="S34" i="11"/>
  <c r="R26" i="11"/>
  <c r="T26" i="11"/>
  <c r="S28" i="11"/>
  <c r="Q28" i="11"/>
  <c r="S31" i="11"/>
  <c r="Q31" i="11"/>
  <c r="T30" i="11"/>
  <c r="R30" i="11"/>
  <c r="T28" i="11"/>
  <c r="R28" i="11"/>
  <c r="R31" i="11"/>
  <c r="T31" i="11"/>
  <c r="R34" i="11"/>
  <c r="T34" i="11"/>
  <c r="AE3" i="2"/>
  <c r="U3" i="2"/>
  <c r="AM3" i="2"/>
  <c r="W3" i="2"/>
  <c r="AG3" i="2"/>
  <c r="AC3" i="2"/>
  <c r="AA3" i="2"/>
  <c r="Y3" i="2"/>
  <c r="AK3" i="2"/>
  <c r="AI3" i="2"/>
  <c r="I24" i="11" a="1"/>
  <c r="I24" i="11" s="1"/>
  <c r="I25" i="11" a="1"/>
  <c r="I25" i="11" s="1"/>
  <c r="I26" i="11" a="1"/>
  <c r="I26" i="11" s="1"/>
  <c r="J15" i="11" a="1"/>
  <c r="J15" i="11" s="1"/>
  <c r="C29" i="11"/>
  <c r="C28" i="11"/>
  <c r="C27" i="11"/>
  <c r="C25" i="11"/>
  <c r="C24" i="11"/>
  <c r="C23" i="11"/>
  <c r="C22" i="11"/>
  <c r="U9" i="11" l="1"/>
  <c r="V9" i="11"/>
  <c r="W9" i="11" s="1"/>
  <c r="V8" i="11"/>
  <c r="W8" i="11" s="1"/>
  <c r="V7" i="11"/>
  <c r="W7" i="11" s="1"/>
  <c r="V5" i="11"/>
  <c r="W5" i="11" s="1"/>
  <c r="U8" i="11"/>
  <c r="U5" i="11"/>
  <c r="V10" i="11"/>
  <c r="W10" i="11" s="1"/>
  <c r="U7" i="11"/>
  <c r="U10" i="11"/>
  <c r="U12" i="11"/>
  <c r="U11" i="11"/>
  <c r="V13" i="11"/>
  <c r="W13" i="11" s="1"/>
  <c r="V4" i="11"/>
  <c r="U6" i="11"/>
  <c r="V12" i="11"/>
  <c r="W12" i="11" s="1"/>
  <c r="V11" i="11"/>
  <c r="W11" i="11" s="1"/>
  <c r="U13" i="11"/>
  <c r="U4" i="11"/>
  <c r="V6" i="11"/>
  <c r="W6" i="11" s="1"/>
  <c r="U25" i="11"/>
  <c r="V32" i="11"/>
  <c r="W32" i="11" s="1"/>
  <c r="V26" i="11"/>
  <c r="W26" i="11" s="1"/>
  <c r="V29" i="11"/>
  <c r="W29" i="11" s="1"/>
  <c r="U26" i="11"/>
  <c r="V30" i="11"/>
  <c r="W30" i="11" s="1"/>
  <c r="V31" i="11"/>
  <c r="W31" i="11" s="1"/>
  <c r="U34" i="11"/>
  <c r="U27" i="11"/>
  <c r="V33" i="11"/>
  <c r="W33" i="11" s="1"/>
  <c r="V27" i="11"/>
  <c r="W27" i="11" s="1"/>
  <c r="U28" i="11"/>
  <c r="U33" i="11"/>
  <c r="V25" i="11"/>
  <c r="V28" i="11"/>
  <c r="W28" i="11" s="1"/>
  <c r="V34" i="11"/>
  <c r="W34" i="11" s="1"/>
  <c r="U31" i="11"/>
  <c r="U30" i="11"/>
  <c r="U29" i="11"/>
  <c r="U32" i="11"/>
  <c r="C4" i="11"/>
  <c r="C5" i="11" s="1"/>
  <c r="G12" i="7"/>
  <c r="N12" i="7"/>
  <c r="L12" i="7"/>
  <c r="O12" i="7"/>
  <c r="M12" i="7"/>
  <c r="P12" i="7"/>
  <c r="J12" i="7"/>
  <c r="K12" i="7"/>
  <c r="I12" i="7"/>
  <c r="H12" i="7"/>
  <c r="G13" i="15" l="1" a="1"/>
  <c r="G13" i="15" s="1"/>
  <c r="G11" i="15" a="1"/>
  <c r="G11" i="15" s="1"/>
  <c r="G19" i="15" a="1"/>
  <c r="G19" i="15" s="1"/>
  <c r="G10" i="15" a="1"/>
  <c r="G10" i="15" s="1"/>
  <c r="G17" i="15" a="1"/>
  <c r="G17" i="15" s="1"/>
  <c r="G12" i="15" a="1"/>
  <c r="G12" i="15" s="1"/>
  <c r="G14" i="15" a="1"/>
  <c r="G14" i="15" s="1"/>
  <c r="G18" i="15" a="1"/>
  <c r="G18" i="15" s="1"/>
  <c r="G15" i="15" a="1"/>
  <c r="G15" i="15" s="1"/>
  <c r="G16" i="15" a="1"/>
  <c r="G16" i="15" s="1"/>
  <c r="G46" i="15" a="1"/>
  <c r="G46" i="15" s="1"/>
  <c r="G61" i="14" a="1"/>
  <c r="G61" i="14" s="1"/>
  <c r="G48" i="15" a="1"/>
  <c r="G48" i="15" s="1"/>
  <c r="G45" i="15" a="1"/>
  <c r="G45" i="15" s="1"/>
  <c r="G51" i="15" a="1"/>
  <c r="G51" i="15" s="1"/>
  <c r="G59" i="14" a="1"/>
  <c r="G59" i="14" s="1"/>
  <c r="G55" i="14" a="1"/>
  <c r="G55" i="14" s="1"/>
  <c r="G47" i="15" a="1"/>
  <c r="G47" i="15" s="1"/>
  <c r="G57" i="14" a="1"/>
  <c r="G57" i="14" s="1"/>
  <c r="G43" i="15" a="1"/>
  <c r="G43" i="15" s="1"/>
  <c r="G58" i="14" a="1"/>
  <c r="G58" i="14" s="1"/>
  <c r="G56" i="14" a="1"/>
  <c r="G56" i="14" s="1"/>
  <c r="G63" i="14" a="1"/>
  <c r="G63" i="14" s="1"/>
  <c r="G49" i="15" a="1"/>
  <c r="G49" i="15" s="1"/>
  <c r="G60" i="14" a="1"/>
  <c r="G60" i="14" s="1"/>
  <c r="G44" i="15" a="1"/>
  <c r="G44" i="15" s="1"/>
  <c r="G62" i="14" a="1"/>
  <c r="G62" i="14" s="1"/>
  <c r="G50" i="15" a="1"/>
  <c r="G50" i="15" s="1"/>
  <c r="W4" i="11"/>
  <c r="V15" i="11"/>
  <c r="V16" i="11"/>
  <c r="G22" i="14" a="1"/>
  <c r="G22" i="14" s="1"/>
  <c r="G28" i="14" a="1"/>
  <c r="G28" i="14" s="1"/>
  <c r="G23" i="14" a="1"/>
  <c r="G23" i="14" s="1"/>
  <c r="G29" i="14" a="1"/>
  <c r="G29" i="14" s="1"/>
  <c r="G24" i="14" a="1"/>
  <c r="G24" i="14" s="1"/>
  <c r="G30" i="14" a="1"/>
  <c r="G30" i="14" s="1"/>
  <c r="G25" i="14" a="1"/>
  <c r="G25" i="14" s="1"/>
  <c r="G21" i="14" a="1"/>
  <c r="G21" i="14" s="1"/>
  <c r="G26" i="14" a="1"/>
  <c r="G26" i="14" s="1"/>
  <c r="G27" i="14" a="1"/>
  <c r="G27" i="14" s="1"/>
  <c r="V38" i="11"/>
  <c r="W25" i="11"/>
  <c r="V37" i="11"/>
  <c r="F34" i="8" a="1"/>
  <c r="F34" i="8" s="1"/>
  <c r="F35" i="8" a="1"/>
  <c r="F35" i="8" s="1"/>
  <c r="F36" i="8" a="1"/>
  <c r="F36" i="8" s="1"/>
  <c r="I36" i="8" s="1"/>
  <c r="F31" i="8" a="1"/>
  <c r="F31" i="8" s="1"/>
  <c r="F30" i="8" a="1"/>
  <c r="F30" i="8" s="1"/>
  <c r="F29" i="8" a="1"/>
  <c r="F29" i="8" s="1"/>
  <c r="F32" i="8" a="1"/>
  <c r="F32" i="8" s="1"/>
  <c r="F28" i="8" a="1"/>
  <c r="F28" i="8" s="1"/>
  <c r="F27" i="8" a="1"/>
  <c r="F27" i="8" s="1"/>
  <c r="F10" i="8" a="1"/>
  <c r="F10" i="8" s="1"/>
  <c r="I10" i="8" s="1"/>
  <c r="F20" i="8" a="1"/>
  <c r="F20" i="8" s="1"/>
  <c r="F11" i="8" a="1"/>
  <c r="F11" i="8" s="1"/>
  <c r="I11" i="8" s="1"/>
  <c r="F18" i="8" a="1"/>
  <c r="F18" i="8" s="1"/>
  <c r="F19" i="8" a="1"/>
  <c r="F19" i="8" s="1"/>
  <c r="F13" i="8" a="1"/>
  <c r="F13" i="8" s="1"/>
  <c r="I13" i="8" s="1"/>
  <c r="F15" i="8" a="1"/>
  <c r="F15" i="8" s="1"/>
  <c r="I15" i="8" s="1"/>
  <c r="F14" i="8" a="1"/>
  <c r="F14" i="8" s="1"/>
  <c r="I14" i="8" s="1"/>
  <c r="F12" i="8" a="1"/>
  <c r="F12" i="8" s="1"/>
  <c r="I12" i="8" s="1"/>
  <c r="F17" i="8" a="1"/>
  <c r="F17" i="8" s="1"/>
  <c r="G18" i="8" l="1"/>
  <c r="I18" i="8"/>
  <c r="J49" i="15"/>
  <c r="K49" i="15" s="1"/>
  <c r="F49" i="15"/>
  <c r="I49" i="15"/>
  <c r="H49" i="15"/>
  <c r="F63" i="14"/>
  <c r="J63" i="14"/>
  <c r="K63" i="14" s="1"/>
  <c r="H63" i="14"/>
  <c r="I63" i="14"/>
  <c r="I17" i="15"/>
  <c r="H17" i="15"/>
  <c r="F17" i="15"/>
  <c r="J17" i="15"/>
  <c r="K17" i="15" s="1"/>
  <c r="H50" i="15"/>
  <c r="J50" i="15"/>
  <c r="K50" i="15" s="1"/>
  <c r="F50" i="15"/>
  <c r="I50" i="15"/>
  <c r="F43" i="15"/>
  <c r="J43" i="15"/>
  <c r="K43" i="15" s="1"/>
  <c r="I43" i="15"/>
  <c r="H43" i="15"/>
  <c r="F61" i="14"/>
  <c r="I61" i="14"/>
  <c r="J61" i="14"/>
  <c r="K61" i="14" s="1"/>
  <c r="H61" i="14"/>
  <c r="H10" i="15"/>
  <c r="F10" i="15"/>
  <c r="J10" i="15"/>
  <c r="K10" i="15" s="1"/>
  <c r="I10" i="15"/>
  <c r="J14" i="15"/>
  <c r="K14" i="15" s="1"/>
  <c r="I14" i="15"/>
  <c r="F14" i="15"/>
  <c r="H14" i="15"/>
  <c r="J12" i="15"/>
  <c r="K12" i="15" s="1"/>
  <c r="I12" i="15"/>
  <c r="H12" i="15"/>
  <c r="F12" i="15"/>
  <c r="J48" i="15"/>
  <c r="K48" i="15" s="1"/>
  <c r="F48" i="15"/>
  <c r="I48" i="15"/>
  <c r="H48" i="15"/>
  <c r="F62" i="14"/>
  <c r="H62" i="14"/>
  <c r="I62" i="14"/>
  <c r="J62" i="14"/>
  <c r="K62" i="14" s="1"/>
  <c r="I57" i="14"/>
  <c r="J57" i="14"/>
  <c r="K57" i="14" s="1"/>
  <c r="F57" i="14"/>
  <c r="H57" i="14"/>
  <c r="H46" i="15"/>
  <c r="F46" i="15"/>
  <c r="J46" i="15"/>
  <c r="K46" i="15" s="1"/>
  <c r="I46" i="15"/>
  <c r="J19" i="15"/>
  <c r="K19" i="15" s="1"/>
  <c r="F19" i="15"/>
  <c r="I19" i="15"/>
  <c r="H19" i="15"/>
  <c r="H59" i="14"/>
  <c r="I59" i="14"/>
  <c r="J59" i="14"/>
  <c r="K59" i="14" s="1"/>
  <c r="F59" i="14"/>
  <c r="F45" i="15"/>
  <c r="J45" i="15"/>
  <c r="K45" i="15" s="1"/>
  <c r="I45" i="15"/>
  <c r="H45" i="15"/>
  <c r="J44" i="15"/>
  <c r="K44" i="15" s="1"/>
  <c r="F44" i="15"/>
  <c r="I44" i="15"/>
  <c r="H44" i="15"/>
  <c r="I47" i="15"/>
  <c r="H47" i="15"/>
  <c r="J47" i="15"/>
  <c r="K47" i="15" s="1"/>
  <c r="F47" i="15"/>
  <c r="F16" i="15"/>
  <c r="H16" i="15"/>
  <c r="J16" i="15"/>
  <c r="K16" i="15" s="1"/>
  <c r="I16" i="15"/>
  <c r="J11" i="15"/>
  <c r="K11" i="15" s="1"/>
  <c r="I11" i="15"/>
  <c r="F11" i="15"/>
  <c r="H11" i="15"/>
  <c r="J18" i="15"/>
  <c r="K18" i="15" s="1"/>
  <c r="F18" i="15"/>
  <c r="I18" i="15"/>
  <c r="H18" i="15"/>
  <c r="F51" i="15"/>
  <c r="J51" i="15"/>
  <c r="K51" i="15" s="1"/>
  <c r="I51" i="15"/>
  <c r="H51" i="15"/>
  <c r="J56" i="14"/>
  <c r="K56" i="14" s="1"/>
  <c r="I56" i="14"/>
  <c r="H56" i="14"/>
  <c r="F56" i="14"/>
  <c r="H58" i="14"/>
  <c r="J58" i="14"/>
  <c r="K58" i="14" s="1"/>
  <c r="F58" i="14"/>
  <c r="I58" i="14"/>
  <c r="J60" i="14"/>
  <c r="K60" i="14" s="1"/>
  <c r="I60" i="14"/>
  <c r="H60" i="14"/>
  <c r="F60" i="14"/>
  <c r="F55" i="14"/>
  <c r="I55" i="14"/>
  <c r="J55" i="14"/>
  <c r="K55" i="14" s="1"/>
  <c r="H55" i="14"/>
  <c r="F15" i="15"/>
  <c r="I15" i="15"/>
  <c r="J15" i="15"/>
  <c r="K15" i="15" s="1"/>
  <c r="H15" i="15"/>
  <c r="I13" i="15"/>
  <c r="H13" i="15"/>
  <c r="F13" i="15"/>
  <c r="J13" i="15"/>
  <c r="K13" i="15" s="1"/>
  <c r="V17" i="11"/>
  <c r="V39" i="11"/>
  <c r="G35" i="8"/>
  <c r="I35" i="8"/>
  <c r="H35" i="8"/>
  <c r="G34" i="8"/>
  <c r="H34" i="8"/>
  <c r="I34" i="8"/>
  <c r="G27" i="8"/>
  <c r="H27" i="8"/>
  <c r="I27" i="8"/>
  <c r="H28" i="8"/>
  <c r="I28" i="8"/>
  <c r="G28" i="8"/>
  <c r="H32" i="8"/>
  <c r="I32" i="8"/>
  <c r="G32" i="8"/>
  <c r="I29" i="8"/>
  <c r="G29" i="8"/>
  <c r="H29" i="8"/>
  <c r="I30" i="8"/>
  <c r="G30" i="8"/>
  <c r="H30" i="8"/>
  <c r="H31" i="8"/>
  <c r="I31" i="8"/>
  <c r="G31" i="8"/>
  <c r="I23" i="14"/>
  <c r="J23" i="14"/>
  <c r="K23" i="14" s="1"/>
  <c r="I28" i="14"/>
  <c r="J28" i="14"/>
  <c r="K28" i="14" s="1"/>
  <c r="I30" i="14"/>
  <c r="J30" i="14"/>
  <c r="K30" i="14" s="1"/>
  <c r="I26" i="14"/>
  <c r="J26" i="14"/>
  <c r="K26" i="14" s="1"/>
  <c r="I29" i="14"/>
  <c r="J29" i="14"/>
  <c r="K29" i="14" s="1"/>
  <c r="I24" i="14"/>
  <c r="J24" i="14"/>
  <c r="K24" i="14" s="1"/>
  <c r="I22" i="14"/>
  <c r="J22" i="14"/>
  <c r="K22" i="14" s="1"/>
  <c r="I27" i="14"/>
  <c r="J27" i="14"/>
  <c r="K27" i="14" s="1"/>
  <c r="I25" i="14"/>
  <c r="J25" i="14"/>
  <c r="K25" i="14" s="1"/>
  <c r="I21" i="14"/>
  <c r="J21" i="14"/>
  <c r="K21" i="14" s="1"/>
  <c r="H20" i="8"/>
  <c r="I20" i="8"/>
  <c r="G17" i="8"/>
  <c r="I17" i="8"/>
  <c r="H19" i="8"/>
  <c r="I19" i="8"/>
  <c r="G10" i="8"/>
  <c r="G13" i="8"/>
  <c r="G11" i="8"/>
  <c r="H12" i="8"/>
  <c r="G14" i="8"/>
  <c r="G15" i="8"/>
  <c r="F27" i="14"/>
  <c r="H27" i="14"/>
  <c r="H23" i="14"/>
  <c r="F23" i="14"/>
  <c r="F29" i="14"/>
  <c r="H29" i="14"/>
  <c r="H21" i="14"/>
  <c r="F21" i="14"/>
  <c r="F25" i="14"/>
  <c r="H25" i="14"/>
  <c r="F28" i="14"/>
  <c r="H28" i="14"/>
  <c r="H30" i="14"/>
  <c r="F30" i="14"/>
  <c r="F26" i="14"/>
  <c r="H26" i="14"/>
  <c r="H24" i="14"/>
  <c r="F24" i="14"/>
  <c r="H22" i="14"/>
  <c r="F22" i="14"/>
  <c r="G20" i="8"/>
  <c r="H10" i="8"/>
  <c r="H17" i="8"/>
  <c r="H11" i="8"/>
  <c r="H18" i="8"/>
  <c r="G12" i="8"/>
  <c r="H13" i="8"/>
  <c r="H15" i="8"/>
  <c r="H14" i="8"/>
  <c r="G19" i="8"/>
  <c r="G4" i="15"/>
  <c r="G11" i="7"/>
  <c r="J52" i="15" l="1"/>
  <c r="K52" i="15" s="1"/>
  <c r="J64" i="14"/>
  <c r="K64" i="14" s="1"/>
  <c r="J31" i="14"/>
  <c r="K31" i="14" s="1"/>
  <c r="J20" i="15"/>
  <c r="K20" i="15" s="1"/>
  <c r="I37" i="8"/>
  <c r="I21" i="8"/>
  <c r="R10" i="7"/>
  <c r="K11" i="7"/>
  <c r="L11" i="7"/>
  <c r="M11" i="7"/>
  <c r="N11" i="7"/>
  <c r="H11" i="7"/>
  <c r="O11" i="7"/>
  <c r="I11" i="7"/>
  <c r="P11" i="7"/>
  <c r="R12" i="7"/>
  <c r="J11" i="7"/>
  <c r="R11" i="7" l="1"/>
  <c r="C19" i="11" l="1"/>
  <c r="E7" i="11" s="1"/>
  <c r="C16" i="11"/>
  <c r="C11" i="11"/>
  <c r="C14" i="11"/>
  <c r="C10" i="11"/>
  <c r="C7" i="11"/>
  <c r="C15" i="11" s="1"/>
  <c r="C13" i="11"/>
  <c r="C6" i="11"/>
  <c r="H6" i="11" l="1"/>
  <c r="J6" i="11"/>
  <c r="I6" i="11"/>
  <c r="G7" i="11"/>
  <c r="I4" i="11"/>
  <c r="E5" i="11"/>
  <c r="E8" i="11"/>
  <c r="E6" i="11"/>
  <c r="G4" i="11"/>
  <c r="G8" i="11"/>
  <c r="G5" i="11"/>
  <c r="E4" i="11"/>
  <c r="G6" i="11"/>
  <c r="J4" i="11"/>
  <c r="H4"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tc={1773B4AA-3892-4808-8977-6036DA0A2ED8}</author>
  </authors>
  <commentList>
    <comment ref="V4" authorId="0" shapeId="0" xr:uid="{DEA4DC12-2327-47F3-9D6D-257FECE1F0BC}">
      <text>
        <r>
          <rPr>
            <b/>
            <sz val="9"/>
            <color indexed="81"/>
            <rFont val="Tahoma"/>
            <family val="2"/>
          </rPr>
          <t>SIR DALEON:
IBUTANG SA NI TEMPORARILY</t>
        </r>
      </text>
    </comment>
    <comment ref="P28" authorId="1" shapeId="0" xr:uid="{1773B4AA-3892-4808-8977-6036DA0A2ED8}">
      <text>
        <t>[Threaded comment]
Your version of Excel allows you to read this threaded comment; however, any edits to it will get removed if the file is opened in a newer version of Excel. Learn more: https://go.microsoft.com/fwlink/?linkid=870924
Comment:
    TRANSFEREE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Q24" authorId="0" shapeId="0" xr:uid="{A01D6F71-40E8-4DE7-8774-E5886CE61F50}">
      <text>
        <r>
          <rPr>
            <b/>
            <sz val="9"/>
            <color indexed="81"/>
            <rFont val="Tahoma"/>
            <family val="2"/>
          </rPr>
          <t>Windows User:</t>
        </r>
        <r>
          <rPr>
            <sz val="9"/>
            <color indexed="81"/>
            <rFont val="Tahoma"/>
            <family val="2"/>
          </rPr>
          <t xml:space="preserve">
return 0 only if :
- no grade
- blank
- zero 
- subtaken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A2A0AB-EB04-47D5-8D86-512C4C7B739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<sst xmlns="http://schemas.openxmlformats.org/spreadsheetml/2006/main" count="504" uniqueCount="279">
  <si>
    <t>Last Name</t>
  </si>
  <si>
    <t>First Name</t>
  </si>
  <si>
    <t>LRN</t>
  </si>
  <si>
    <t>Middle Name</t>
  </si>
  <si>
    <t>Sex</t>
  </si>
  <si>
    <t>Date of Birth</t>
  </si>
  <si>
    <t>Date of SHS Admission</t>
  </si>
  <si>
    <t>Eiligibility for Enrollment</t>
  </si>
  <si>
    <t>JUNIOR HIGH SCHOOL COMPLETER</t>
  </si>
  <si>
    <t>Gen. Ave / Rating</t>
  </si>
  <si>
    <t>Name of Previous School</t>
  </si>
  <si>
    <t>School Address</t>
  </si>
  <si>
    <t>Adviser</t>
  </si>
  <si>
    <t xml:space="preserve">Section </t>
  </si>
  <si>
    <t>Strand</t>
  </si>
  <si>
    <t>Track</t>
  </si>
  <si>
    <t>School Principal</t>
  </si>
  <si>
    <t>ALS A&amp;E PASSER</t>
  </si>
  <si>
    <t>AUG</t>
  </si>
  <si>
    <t>SEP</t>
  </si>
  <si>
    <t>OCT</t>
  </si>
  <si>
    <t>NOV</t>
  </si>
  <si>
    <t>DEC</t>
  </si>
  <si>
    <t>JAN</t>
  </si>
  <si>
    <t>FEB</t>
  </si>
  <si>
    <t>MAR</t>
  </si>
  <si>
    <t>APR</t>
  </si>
  <si>
    <t>MAY</t>
  </si>
  <si>
    <t>JUN</t>
  </si>
  <si>
    <t>No. of school days</t>
  </si>
  <si>
    <t>No. of days present</t>
  </si>
  <si>
    <t>No. of days absent</t>
  </si>
  <si>
    <t>TOTAL</t>
  </si>
  <si>
    <t>First Semester</t>
  </si>
  <si>
    <t>Subjects</t>
  </si>
  <si>
    <t>Quarter</t>
  </si>
  <si>
    <t>Semester Final Grade</t>
  </si>
  <si>
    <t>Core Subjects</t>
  </si>
  <si>
    <t>Applied and Specialized Subjects</t>
  </si>
  <si>
    <t>General Average for the Semester</t>
  </si>
  <si>
    <t>Second Semester</t>
  </si>
  <si>
    <t>School Year</t>
  </si>
  <si>
    <t>Student Name</t>
  </si>
  <si>
    <t>Contemporary Philippine Arts from the Regions</t>
  </si>
  <si>
    <t>Media and Information Literacy</t>
  </si>
  <si>
    <t>Personal Development</t>
  </si>
  <si>
    <t>Understanding Culture, Society and Politics</t>
  </si>
  <si>
    <t>English for Academic and Professional Purposes</t>
  </si>
  <si>
    <t>Entreprenuership</t>
  </si>
  <si>
    <t>Inquiries, Investigations and Immersion</t>
  </si>
  <si>
    <t>Practical Research 2</t>
  </si>
  <si>
    <t>Date of Graduation /
Completion/Examination</t>
  </si>
  <si>
    <t>School ID</t>
  </si>
  <si>
    <t>School Name</t>
  </si>
  <si>
    <t>Grade Level</t>
  </si>
  <si>
    <t>Age</t>
  </si>
  <si>
    <t>COUNT OF ABSENCES</t>
  </si>
  <si>
    <t>Page 1</t>
  </si>
  <si>
    <t>Form 137-SHS</t>
  </si>
  <si>
    <t>Indicate if Subject is CORE, APPLIED, or SPECIALIZED</t>
  </si>
  <si>
    <t>SUBJECTS</t>
  </si>
  <si>
    <t>1ST</t>
  </si>
  <si>
    <t>2ND</t>
  </si>
  <si>
    <t>SEMI FINAL GRADE</t>
  </si>
  <si>
    <t>REMARKS</t>
  </si>
  <si>
    <t xml:space="preserve"> SEMI FINAL GRADE</t>
  </si>
  <si>
    <t>REMEDIAL CLASS MARK</t>
  </si>
  <si>
    <t>RECOMPUTED FINAL GRADE</t>
  </si>
  <si>
    <t>ACTION TAKEN</t>
  </si>
  <si>
    <t>Page 2</t>
  </si>
  <si>
    <t>3RD</t>
  </si>
  <si>
    <t>4TH</t>
  </si>
  <si>
    <t>Full Name (Spelled Out)</t>
  </si>
  <si>
    <t>ATTRIBUTES</t>
  </si>
  <si>
    <t>DATA</t>
  </si>
  <si>
    <t>SUBJECT CATEGORY</t>
  </si>
  <si>
    <t>CORE</t>
  </si>
  <si>
    <t>APPLIED</t>
  </si>
  <si>
    <t>SPECIALIZED</t>
  </si>
  <si>
    <t>Transferee</t>
  </si>
  <si>
    <t>DOB</t>
  </si>
  <si>
    <t>Date of Admission</t>
  </si>
  <si>
    <t xml:space="preserve">Eligibility </t>
  </si>
  <si>
    <t>HIGH SCHOOL COMPLETER</t>
  </si>
  <si>
    <t>PEPT PASSER</t>
  </si>
  <si>
    <t>OTHERS</t>
  </si>
  <si>
    <t>ELIGIBILITY</t>
  </si>
  <si>
    <t>Gen.Ave</t>
  </si>
  <si>
    <t>TICK</t>
  </si>
  <si>
    <t>Date of Graduation</t>
  </si>
  <si>
    <t>Name of School</t>
  </si>
  <si>
    <t>Eligibility for SHS Enrollment</t>
  </si>
  <si>
    <t>SF10 Learner's Information</t>
  </si>
  <si>
    <t>SF9 Learner's Information</t>
  </si>
  <si>
    <t>Scholastic Record</t>
  </si>
  <si>
    <t>School</t>
  </si>
  <si>
    <t>Track/Strand</t>
  </si>
  <si>
    <t>Section</t>
  </si>
  <si>
    <t>General Ave. for the Semester:</t>
  </si>
  <si>
    <t>Sort Order</t>
  </si>
  <si>
    <t>SEMESTER</t>
  </si>
  <si>
    <t>First Semester Subjects</t>
  </si>
  <si>
    <t xml:space="preserve">Subject Category </t>
  </si>
  <si>
    <t>FIRST SEMESTER MASTERSHEET</t>
  </si>
  <si>
    <t>SECOND SEMESTER MASTERSHEET</t>
  </si>
  <si>
    <r>
      <t>1</t>
    </r>
    <r>
      <rPr>
        <sz val="14"/>
        <color theme="0"/>
        <rFont val="Calibri"/>
        <family val="2"/>
        <scheme val="minor"/>
      </rPr>
      <t>0</t>
    </r>
  </si>
  <si>
    <r>
      <t>2</t>
    </r>
    <r>
      <rPr>
        <sz val="14"/>
        <color theme="0"/>
        <rFont val="Calibri"/>
        <family val="2"/>
        <scheme val="minor"/>
      </rPr>
      <t>0</t>
    </r>
  </si>
  <si>
    <r>
      <t>1</t>
    </r>
    <r>
      <rPr>
        <sz val="14"/>
        <color theme="0"/>
        <rFont val="Calibri"/>
        <family val="2"/>
        <scheme val="minor"/>
      </rPr>
      <t>1</t>
    </r>
  </si>
  <si>
    <r>
      <t>2</t>
    </r>
    <r>
      <rPr>
        <sz val="14"/>
        <color theme="0"/>
        <rFont val="Calibri"/>
        <family val="2"/>
        <scheme val="minor"/>
      </rPr>
      <t>1</t>
    </r>
  </si>
  <si>
    <r>
      <t>1</t>
    </r>
    <r>
      <rPr>
        <sz val="14"/>
        <color theme="0"/>
        <rFont val="Calibri"/>
        <family val="2"/>
        <scheme val="minor"/>
      </rPr>
      <t>2</t>
    </r>
  </si>
  <si>
    <r>
      <t>2</t>
    </r>
    <r>
      <rPr>
        <sz val="14"/>
        <color theme="0"/>
        <rFont val="Calibri"/>
        <family val="2"/>
        <scheme val="minor"/>
      </rPr>
      <t>2</t>
    </r>
  </si>
  <si>
    <r>
      <t>1</t>
    </r>
    <r>
      <rPr>
        <sz val="14"/>
        <color theme="0"/>
        <rFont val="Calibri"/>
        <family val="2"/>
        <scheme val="minor"/>
      </rPr>
      <t>3</t>
    </r>
  </si>
  <si>
    <r>
      <t>2</t>
    </r>
    <r>
      <rPr>
        <sz val="14"/>
        <color theme="0"/>
        <rFont val="Calibri"/>
        <family val="2"/>
        <scheme val="minor"/>
      </rPr>
      <t>3</t>
    </r>
  </si>
  <si>
    <r>
      <t>1</t>
    </r>
    <r>
      <rPr>
        <sz val="14"/>
        <color theme="0"/>
        <rFont val="Calibri"/>
        <family val="2"/>
        <scheme val="minor"/>
      </rPr>
      <t>4</t>
    </r>
  </si>
  <si>
    <r>
      <t>2</t>
    </r>
    <r>
      <rPr>
        <sz val="14"/>
        <color theme="0"/>
        <rFont val="Calibri"/>
        <family val="2"/>
        <scheme val="minor"/>
      </rPr>
      <t>4</t>
    </r>
  </si>
  <si>
    <r>
      <t>1</t>
    </r>
    <r>
      <rPr>
        <sz val="14"/>
        <color theme="0"/>
        <rFont val="Calibri"/>
        <family val="2"/>
        <scheme val="minor"/>
      </rPr>
      <t>5</t>
    </r>
  </si>
  <si>
    <r>
      <t>2</t>
    </r>
    <r>
      <rPr>
        <sz val="14"/>
        <color theme="0"/>
        <rFont val="Calibri"/>
        <family val="2"/>
        <scheme val="minor"/>
      </rPr>
      <t>5</t>
    </r>
  </si>
  <si>
    <r>
      <t>1</t>
    </r>
    <r>
      <rPr>
        <sz val="14"/>
        <color theme="0"/>
        <rFont val="Calibri"/>
        <family val="2"/>
        <scheme val="minor"/>
      </rPr>
      <t>6</t>
    </r>
  </si>
  <si>
    <r>
      <t>2</t>
    </r>
    <r>
      <rPr>
        <sz val="14"/>
        <color theme="0"/>
        <rFont val="Calibri"/>
        <family val="2"/>
        <scheme val="minor"/>
      </rPr>
      <t>6</t>
    </r>
  </si>
  <si>
    <r>
      <t>1</t>
    </r>
    <r>
      <rPr>
        <sz val="14"/>
        <color theme="0"/>
        <rFont val="Calibri"/>
        <family val="2"/>
        <scheme val="minor"/>
      </rPr>
      <t>7</t>
    </r>
  </si>
  <si>
    <r>
      <t>2</t>
    </r>
    <r>
      <rPr>
        <sz val="14"/>
        <color theme="0"/>
        <rFont val="Calibri"/>
        <family val="2"/>
        <scheme val="minor"/>
      </rPr>
      <t>7</t>
    </r>
  </si>
  <si>
    <r>
      <t>1</t>
    </r>
    <r>
      <rPr>
        <sz val="14"/>
        <color theme="0"/>
        <rFont val="Calibri"/>
        <family val="2"/>
        <scheme val="minor"/>
      </rPr>
      <t>8</t>
    </r>
  </si>
  <si>
    <r>
      <t>2</t>
    </r>
    <r>
      <rPr>
        <sz val="14"/>
        <color theme="0"/>
        <rFont val="Calibri"/>
        <family val="2"/>
        <scheme val="minor"/>
      </rPr>
      <t>8</t>
    </r>
  </si>
  <si>
    <r>
      <t>1</t>
    </r>
    <r>
      <rPr>
        <sz val="14"/>
        <color theme="0"/>
        <rFont val="Calibri"/>
        <family val="2"/>
        <scheme val="minor"/>
      </rPr>
      <t>9</t>
    </r>
  </si>
  <si>
    <r>
      <t>2</t>
    </r>
    <r>
      <rPr>
        <sz val="14"/>
        <color theme="0"/>
        <rFont val="Calibri"/>
        <family val="2"/>
        <scheme val="minor"/>
      </rPr>
      <t>9</t>
    </r>
  </si>
  <si>
    <t>GENERAL INFORMATION</t>
  </si>
  <si>
    <t>Qtr 1 Grades</t>
  </si>
  <si>
    <t>Qtr 2 Grades</t>
  </si>
  <si>
    <r>
      <t>Last Name, First Name, Middle Initial</t>
    </r>
    <r>
      <rPr>
        <sz val="14"/>
        <color theme="0"/>
        <rFont val="Calibri"/>
        <family val="2"/>
        <scheme val="minor"/>
      </rPr>
      <t>22</t>
    </r>
  </si>
  <si>
    <r>
      <t>Last Name, First Name, Middle Initial</t>
    </r>
    <r>
      <rPr>
        <sz val="14"/>
        <color theme="0"/>
        <rFont val="Calibri"/>
        <family val="2"/>
        <scheme val="minor"/>
      </rPr>
      <t>2</t>
    </r>
  </si>
  <si>
    <t>Physical Education and Health III</t>
  </si>
  <si>
    <t>Automotive Servicing</t>
  </si>
  <si>
    <t>Name Extension
(JR.,SR,. etc)</t>
  </si>
  <si>
    <t>Student Lookup</t>
  </si>
  <si>
    <t>lookup_code</t>
  </si>
  <si>
    <t>Qtr 1 final grade</t>
  </si>
  <si>
    <t>Qtr 2 final grade</t>
  </si>
  <si>
    <t>Qtr 1 Remarks</t>
  </si>
  <si>
    <t>Qtr 2 Remarks</t>
  </si>
  <si>
    <t>SEM 1 AVERAGE</t>
  </si>
  <si>
    <t>GRADE COUNT</t>
  </si>
  <si>
    <t>SUBTAKEN COUNT</t>
  </si>
  <si>
    <t>Sem1 Final Grades</t>
  </si>
  <si>
    <t>EAST GUSA NATIONAL HIGH SCHOOL</t>
  </si>
  <si>
    <t>2023-2024</t>
  </si>
  <si>
    <t>AUTOMOTIVE</t>
  </si>
  <si>
    <t>MALE</t>
  </si>
  <si>
    <t>P-4A, Manga Street, Gusa, Cagayan de Oro City</t>
  </si>
  <si>
    <t>FIRST</t>
  </si>
  <si>
    <t>JR.</t>
  </si>
  <si>
    <t>DON VICENTE ROMUALDEZ NATIONAL HIGH SCHOOL</t>
  </si>
  <si>
    <t>Aguinaldo, Laak, Davao de Oro</t>
  </si>
  <si>
    <t>ALS-BCSAT</t>
  </si>
  <si>
    <t>Brgy. Tandang Sora, Butuan City</t>
  </si>
  <si>
    <t>ANTONIO NATIONAL HIGH SCHOOL</t>
  </si>
  <si>
    <t>Tigbao District, Zamboanga del Sur</t>
  </si>
  <si>
    <t>FEMALE</t>
  </si>
  <si>
    <t>no_grade</t>
  </si>
  <si>
    <t>SORT ORDER</t>
  </si>
  <si>
    <t>Physical Education and Health IV</t>
  </si>
  <si>
    <t>SECOND</t>
  </si>
  <si>
    <t>Filipino sa Piling Larangan</t>
  </si>
  <si>
    <t>Second Semester Subjects</t>
  </si>
  <si>
    <t>Grades Data Validation Dropdown Options</t>
  </si>
  <si>
    <t>sub_taken</t>
  </si>
  <si>
    <r>
      <t>3</t>
    </r>
    <r>
      <rPr>
        <sz val="14"/>
        <color theme="0"/>
        <rFont val="Calibri"/>
        <family val="2"/>
        <scheme val="minor"/>
      </rPr>
      <t>a</t>
    </r>
  </si>
  <si>
    <r>
      <t>4</t>
    </r>
    <r>
      <rPr>
        <sz val="14"/>
        <color theme="0"/>
        <rFont val="Calibri"/>
        <family val="2"/>
        <scheme val="minor"/>
      </rPr>
      <t>a</t>
    </r>
  </si>
  <si>
    <r>
      <t>3</t>
    </r>
    <r>
      <rPr>
        <sz val="14"/>
        <color theme="0"/>
        <rFont val="Calibri"/>
        <family val="2"/>
        <scheme val="minor"/>
      </rPr>
      <t>b</t>
    </r>
  </si>
  <si>
    <r>
      <t>4</t>
    </r>
    <r>
      <rPr>
        <sz val="14"/>
        <color theme="0"/>
        <rFont val="Calibri"/>
        <family val="2"/>
        <scheme val="minor"/>
      </rPr>
      <t>b</t>
    </r>
  </si>
  <si>
    <r>
      <t>3</t>
    </r>
    <r>
      <rPr>
        <sz val="14"/>
        <color theme="0"/>
        <rFont val="Calibri"/>
        <family val="2"/>
        <scheme val="minor"/>
      </rPr>
      <t>c</t>
    </r>
  </si>
  <si>
    <r>
      <t>4</t>
    </r>
    <r>
      <rPr>
        <sz val="14"/>
        <color theme="0"/>
        <rFont val="Calibri"/>
        <family val="2"/>
        <scheme val="minor"/>
      </rPr>
      <t>c</t>
    </r>
  </si>
  <si>
    <r>
      <t>3</t>
    </r>
    <r>
      <rPr>
        <sz val="14"/>
        <color theme="0"/>
        <rFont val="Calibri"/>
        <family val="2"/>
        <scheme val="minor"/>
      </rPr>
      <t>d</t>
    </r>
  </si>
  <si>
    <r>
      <t>4</t>
    </r>
    <r>
      <rPr>
        <sz val="14"/>
        <color theme="0"/>
        <rFont val="Calibri"/>
        <family val="2"/>
        <scheme val="minor"/>
      </rPr>
      <t>d</t>
    </r>
  </si>
  <si>
    <r>
      <t>3</t>
    </r>
    <r>
      <rPr>
        <sz val="14"/>
        <color theme="0"/>
        <rFont val="Calibri"/>
        <family val="2"/>
        <scheme val="minor"/>
      </rPr>
      <t>e</t>
    </r>
  </si>
  <si>
    <r>
      <t>4</t>
    </r>
    <r>
      <rPr>
        <sz val="14"/>
        <color theme="0"/>
        <rFont val="Calibri"/>
        <family val="2"/>
        <scheme val="minor"/>
      </rPr>
      <t>e</t>
    </r>
  </si>
  <si>
    <r>
      <t>3</t>
    </r>
    <r>
      <rPr>
        <sz val="14"/>
        <color theme="0"/>
        <rFont val="Calibri"/>
        <family val="2"/>
        <scheme val="minor"/>
      </rPr>
      <t>f</t>
    </r>
  </si>
  <si>
    <r>
      <t>4</t>
    </r>
    <r>
      <rPr>
        <sz val="14"/>
        <color theme="0"/>
        <rFont val="Calibri"/>
        <family val="2"/>
        <scheme val="minor"/>
      </rPr>
      <t>f</t>
    </r>
  </si>
  <si>
    <r>
      <t>3</t>
    </r>
    <r>
      <rPr>
        <sz val="14"/>
        <color theme="0"/>
        <rFont val="Calibri"/>
        <family val="2"/>
        <scheme val="minor"/>
      </rPr>
      <t>g</t>
    </r>
  </si>
  <si>
    <r>
      <t>4</t>
    </r>
    <r>
      <rPr>
        <sz val="14"/>
        <color theme="0"/>
        <rFont val="Calibri"/>
        <family val="2"/>
        <scheme val="minor"/>
      </rPr>
      <t>g</t>
    </r>
  </si>
  <si>
    <r>
      <t>3</t>
    </r>
    <r>
      <rPr>
        <sz val="14"/>
        <color theme="0"/>
        <rFont val="Calibri"/>
        <family val="2"/>
        <scheme val="minor"/>
      </rPr>
      <t>h</t>
    </r>
  </si>
  <si>
    <r>
      <t>4</t>
    </r>
    <r>
      <rPr>
        <sz val="14"/>
        <color theme="0"/>
        <rFont val="Calibri"/>
        <family val="2"/>
        <scheme val="minor"/>
      </rPr>
      <t>h</t>
    </r>
  </si>
  <si>
    <r>
      <t>3</t>
    </r>
    <r>
      <rPr>
        <sz val="14"/>
        <color theme="0"/>
        <rFont val="Calibri"/>
        <family val="2"/>
        <scheme val="minor"/>
      </rPr>
      <t>i</t>
    </r>
  </si>
  <si>
    <r>
      <t>4</t>
    </r>
    <r>
      <rPr>
        <sz val="14"/>
        <color theme="0"/>
        <rFont val="Calibri"/>
        <family val="2"/>
        <scheme val="minor"/>
      </rPr>
      <t>i</t>
    </r>
  </si>
  <si>
    <r>
      <t>3</t>
    </r>
    <r>
      <rPr>
        <sz val="14"/>
        <color theme="0"/>
        <rFont val="Calibri"/>
        <family val="2"/>
        <scheme val="minor"/>
      </rPr>
      <t>j</t>
    </r>
  </si>
  <si>
    <r>
      <t>4</t>
    </r>
    <r>
      <rPr>
        <sz val="14"/>
        <color theme="0"/>
        <rFont val="Calibri"/>
        <family val="2"/>
        <scheme val="minor"/>
      </rPr>
      <t>j</t>
    </r>
  </si>
  <si>
    <t>Qtr 3 Grades</t>
  </si>
  <si>
    <t>Qtr 4 Grades</t>
  </si>
  <si>
    <t>Qtr 3 final grade</t>
  </si>
  <si>
    <t>Qtr 4 final grade</t>
  </si>
  <si>
    <t>Sem2 Final Grades</t>
  </si>
  <si>
    <t>Qtr 3 Remarks</t>
  </si>
  <si>
    <t>Qtr 4 Remarks</t>
  </si>
  <si>
    <t>Last Name, First Name, Middle Initial </t>
  </si>
  <si>
    <t>LEARNER'S INFORMATION</t>
  </si>
  <si>
    <t xml:space="preserve">Technical-Vocational-Livelihood Track </t>
  </si>
  <si>
    <t>JAMES RHODE E. SALAC</t>
  </si>
  <si>
    <t>LAPASAN NATIONAL HIGH SCHOOL</t>
  </si>
  <si>
    <t>Lapasan, Cagayan de Oro City</t>
  </si>
  <si>
    <t>Work Immersion</t>
  </si>
  <si>
    <t>JUAN DELA CRUZ</t>
  </si>
  <si>
    <t>AFFLECK</t>
  </si>
  <si>
    <t>BEN</t>
  </si>
  <si>
    <t>JOSEPH</t>
  </si>
  <si>
    <t>BALE</t>
  </si>
  <si>
    <t>CHRISTIAN</t>
  </si>
  <si>
    <t>CHARLES</t>
  </si>
  <si>
    <t>CAVILL</t>
  </si>
  <si>
    <t>HENRY</t>
  </si>
  <si>
    <t>WILLIAM</t>
  </si>
  <si>
    <t>DAMON</t>
  </si>
  <si>
    <t>MATT</t>
  </si>
  <si>
    <t>FRANCIS</t>
  </si>
  <si>
    <t>DICAPRIO</t>
  </si>
  <si>
    <t>LEONARDO</t>
  </si>
  <si>
    <t>WILHELM</t>
  </si>
  <si>
    <t>EFRON</t>
  </si>
  <si>
    <t>ZAC</t>
  </si>
  <si>
    <t>DAVID</t>
  </si>
  <si>
    <t>ELGORT</t>
  </si>
  <si>
    <t>ANSEL</t>
  </si>
  <si>
    <t>JOHN</t>
  </si>
  <si>
    <t>EVANS</t>
  </si>
  <si>
    <t>CHRIS</t>
  </si>
  <si>
    <t>ROBERT</t>
  </si>
  <si>
    <t>GARFIELD</t>
  </si>
  <si>
    <t>ANDREW</t>
  </si>
  <si>
    <t>RUSSELL</t>
  </si>
  <si>
    <t>GOSLING</t>
  </si>
  <si>
    <t>RYAN</t>
  </si>
  <si>
    <t>CHRISTOPHER</t>
  </si>
  <si>
    <t>HARDY</t>
  </si>
  <si>
    <t>TOM</t>
  </si>
  <si>
    <t>PATRICK</t>
  </si>
  <si>
    <t>HEMSWORTH</t>
  </si>
  <si>
    <t>HIDDLESTON</t>
  </si>
  <si>
    <t>EDWARD</t>
  </si>
  <si>
    <t>HOLLAND</t>
  </si>
  <si>
    <t>STANLEY</t>
  </si>
  <si>
    <t>JACKMAN</t>
  </si>
  <si>
    <t>HUGH</t>
  </si>
  <si>
    <t>MICHAEL</t>
  </si>
  <si>
    <t>LAST NAME</t>
  </si>
  <si>
    <t>FIRST NAME</t>
  </si>
  <si>
    <t>MIDDLE NAME</t>
  </si>
  <si>
    <t>PATTINSON</t>
  </si>
  <si>
    <t>DOUGLAS</t>
  </si>
  <si>
    <t>PINE</t>
  </si>
  <si>
    <t>PRATT</t>
  </si>
  <si>
    <t>ALLEN</t>
  </si>
  <si>
    <t>RADCLIFFE</t>
  </si>
  <si>
    <t>DANIEL</t>
  </si>
  <si>
    <t>JACOB</t>
  </si>
  <si>
    <t>REYNOLDS</t>
  </si>
  <si>
    <t>THOMAS</t>
  </si>
  <si>
    <t>TATUM</t>
  </si>
  <si>
    <t>CHANNING</t>
  </si>
  <si>
    <t>MATTHEW</t>
  </si>
  <si>
    <t>BLAKE</t>
  </si>
  <si>
    <t>ANNE</t>
  </si>
  <si>
    <t>MICHELLE</t>
  </si>
  <si>
    <t>GADOT</t>
  </si>
  <si>
    <t>GAL</t>
  </si>
  <si>
    <t>REBECCA</t>
  </si>
  <si>
    <t>JOHANSSON</t>
  </si>
  <si>
    <t>SCARLETT</t>
  </si>
  <si>
    <t>MARIE</t>
  </si>
  <si>
    <t>LARSON</t>
  </si>
  <si>
    <t>BRIE</t>
  </si>
  <si>
    <t>ALEXANDRA</t>
  </si>
  <si>
    <t>LAWRENCE</t>
  </si>
  <si>
    <t>JENNIFER</t>
  </si>
  <si>
    <t>KATE</t>
  </si>
  <si>
    <t>ROBBIE</t>
  </si>
  <si>
    <t>MARGOT</t>
  </si>
  <si>
    <t>ELIZABETH</t>
  </si>
  <si>
    <t>STONE</t>
  </si>
  <si>
    <t>EMMA</t>
  </si>
  <si>
    <t>LOUISE</t>
  </si>
  <si>
    <t>ROBBIE, MARGOT 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</si>
</sst>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lt;=9999999]###\-####;\(###\)\ ###\-####"/>
    <numFmt numFmtId="165" formatCode="mm\/dd\/yyyy"/>
    <numFmt numFmtId="166" formatCode="0;\-0;;@"/>
  </numFmts>
  <fonts count="41" x14ac:knownFonts="1">
    <font>
      <sz val="11"/>
      <color theme="1"/>
      <name val="Calibri"/>
      <family val="2"/>
      <scheme val="minor"/>
    </font>
    <font>
      <sz val="11"/>
      <color theme="1"/>
      <name val="Calibri"/>
      <family val="2"/>
      <scheme val="minor"/>
    </font>
    <font>
      <sz val="18"/>
      <color theme="1" tint="0.24994659260841701"/>
      <name val="Calibri Light"/>
      <family val="2"/>
      <scheme val="major"/>
    </font>
    <font>
      <sz val="11"/>
      <color theme="1" tint="0.24994659260841701"/>
      <name val="Calibri"/>
      <family val="2"/>
      <scheme val="minor"/>
    </font>
    <font>
      <sz val="12"/>
      <color theme="1"/>
      <name val="Calibri"/>
      <family val="2"/>
      <scheme val="minor"/>
    </font>
    <font>
      <sz val="11"/>
      <color theme="1"/>
      <name val="Times New Roman"/>
      <family val="1"/>
    </font>
    <font>
      <sz val="10"/>
      <color theme="1"/>
      <name val="Times New Roman"/>
      <family val="1"/>
    </font>
    <font>
      <b/>
      <sz val="11"/>
      <color theme="1"/>
      <name val="Times New Roman"/>
      <family val="1"/>
    </font>
    <font>
      <sz val="10"/>
      <color theme="1"/>
      <name val="Calibri"/>
      <family val="2"/>
      <scheme val="minor"/>
    </font>
    <font>
      <sz val="8"/>
      <name val="Calibri"/>
      <family val="2"/>
      <scheme val="minor"/>
    </font>
    <font>
      <b/>
      <sz val="12"/>
      <color theme="0"/>
      <name val="Calibri"/>
      <family val="2"/>
      <scheme val="minor"/>
    </font>
    <font>
      <sz val="12"/>
      <color theme="0"/>
      <name val="Calibri"/>
      <family val="2"/>
      <scheme val="minor"/>
    </font>
    <font>
      <b/>
      <i/>
      <sz val="12"/>
      <color theme="0"/>
      <name val="Calibri"/>
      <family val="2"/>
      <scheme val="minor"/>
    </font>
    <font>
      <b/>
      <sz val="12"/>
      <color theme="1"/>
      <name val="Arial Narrow"/>
      <family val="2"/>
    </font>
    <font>
      <b/>
      <sz val="11"/>
      <color theme="1"/>
      <name val="Arial Narrow"/>
      <family val="2"/>
    </font>
    <font>
      <b/>
      <sz val="11"/>
      <color theme="3"/>
      <name val="Calibri"/>
      <family val="2"/>
      <scheme val="minor"/>
    </font>
    <font>
      <i/>
      <sz val="11"/>
      <color rgb="FF7F7F7F"/>
      <name val="Calibri"/>
      <family val="2"/>
      <scheme val="minor"/>
    </font>
    <font>
      <sz val="12"/>
      <color theme="1"/>
      <name val="Arial Narrow"/>
      <family val="2"/>
    </font>
    <font>
      <b/>
      <sz val="10"/>
      <color theme="1"/>
      <name val="Arial Narrow"/>
      <family val="2"/>
    </font>
    <font>
      <sz val="11"/>
      <name val="Calibri"/>
      <family val="2"/>
      <scheme val="minor"/>
    </font>
    <font>
      <sz val="11"/>
      <name val="Times New Roman"/>
      <family val="1"/>
    </font>
    <font>
      <b/>
      <sz val="11"/>
      <name val="Calibri"/>
      <family val="2"/>
      <scheme val="minor"/>
    </font>
    <font>
      <sz val="14"/>
      <color theme="1"/>
      <name val="Calibri"/>
      <family val="2"/>
      <scheme val="minor"/>
    </font>
    <font>
      <sz val="14"/>
      <color theme="0"/>
      <name val="Calibri"/>
      <family val="2"/>
      <scheme val="minor"/>
    </font>
    <font>
      <sz val="12"/>
      <name val="Calibri"/>
      <family val="2"/>
      <scheme val="minor"/>
    </font>
    <font>
      <b/>
      <sz val="14"/>
      <color theme="1" tint="4.9989318521683403E-2"/>
      <name val="Calibri"/>
      <family val="2"/>
      <scheme val="minor"/>
    </font>
    <font>
      <sz val="22"/>
      <color theme="0"/>
      <name val="Aharoni"/>
      <charset val="177"/>
    </font>
    <font>
      <sz val="22"/>
      <color theme="1"/>
      <name val="Aharoni"/>
      <charset val="177"/>
    </font>
    <font>
      <i/>
      <sz val="14"/>
      <color theme="1" tint="0.24994659260841701"/>
      <name val="Calibri Light"/>
      <family val="2"/>
      <scheme val="major"/>
    </font>
    <font>
      <i/>
      <sz val="14"/>
      <color theme="1"/>
      <name val="Calibri"/>
      <family val="2"/>
      <scheme val="minor"/>
    </font>
    <font>
      <sz val="18"/>
      <name val="Calibri"/>
      <family val="2"/>
      <scheme val="minor"/>
    </font>
    <font>
      <sz val="18"/>
      <color theme="0"/>
      <name val="Aharoni"/>
      <charset val="177"/>
    </font>
    <font>
      <sz val="18"/>
      <color theme="1"/>
      <name val="Times New Roman"/>
      <family val="1"/>
    </font>
    <font>
      <sz val="12"/>
      <name val="Times New Roman"/>
      <family val="1"/>
    </font>
    <font>
      <sz val="12"/>
      <color theme="1" tint="4.9989318521683403E-2"/>
      <name val="Calibri"/>
      <family val="2"/>
      <scheme val="minor"/>
    </font>
    <font>
      <b/>
      <sz val="11"/>
      <color rgb="FFFA7D00"/>
      <name val="Calibri"/>
      <family val="2"/>
      <scheme val="minor"/>
    </font>
    <font>
      <b/>
      <sz val="9"/>
      <color indexed="81"/>
      <name val="Tahoma"/>
      <family val="2"/>
    </font>
    <font>
      <sz val="9"/>
      <color indexed="81"/>
      <name val="Tahoma"/>
      <family val="2"/>
    </font>
    <font>
      <sz val="10"/>
      <name val="Calibri"/>
      <family val="2"/>
      <scheme val="minor"/>
    </font>
    <font>
      <sz val="12"/>
      <name val="Arial Narrow"/>
      <family val="2"/>
    </font>
    <font>
      <b/>
      <sz val="12"/>
      <name val="Calibri"/>
      <family val="2"/>
      <scheme val="minor"/>
    </font>
  </fonts>
  <fills count="11">
    <fill>
      <patternFill patternType="none"/>
    </fill>
    <fill>
      <patternFill patternType="gray125"/>
    </fill>
    <fill>
      <patternFill patternType="solid">
        <fgColor rgb="FFFF6565"/>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BFBFBF"/>
        <bgColor indexed="64"/>
      </patternFill>
    </fill>
    <fill>
      <patternFill patternType="solid">
        <fgColor theme="4" tint="0.79998168889431442"/>
        <bgColor indexed="64"/>
      </patternFill>
    </fill>
    <fill>
      <patternFill patternType="solid">
        <fgColor rgb="FFF2F2F2"/>
      </patternFill>
    </fill>
    <fill>
      <patternFill patternType="solid">
        <fgColor theme="5" tint="0.79998168889431442"/>
        <bgColor theme="5" tint="0.79992065187536243"/>
      </patternFill>
    </fill>
    <fill>
      <patternFill patternType="solid">
        <fgColor theme="5" tint="0.79998168889431442"/>
        <bgColor indexed="64"/>
      </patternFill>
    </fill>
  </fills>
  <borders count="43">
    <border>
      <left/>
      <right/>
      <top/>
      <bottom/>
      <diagonal/>
    </border>
    <border>
      <left/>
      <right/>
      <top/>
      <bottom style="thick">
        <color rgb="FFFF6565"/>
      </bottom>
      <diagonal/>
    </border>
    <border>
      <left/>
      <right style="thin">
        <color rgb="FFFF6565"/>
      </right>
      <top/>
      <bottom/>
      <diagonal/>
    </border>
    <border>
      <left style="thin">
        <color rgb="FFFF6565"/>
      </left>
      <right/>
      <top/>
      <bottom/>
      <diagonal/>
    </border>
    <border>
      <left style="thin">
        <color rgb="FFFF6565"/>
      </left>
      <right style="thin">
        <color rgb="FFFF6565"/>
      </right>
      <top style="thin">
        <color rgb="FFFF6565"/>
      </top>
      <bottom style="thin">
        <color rgb="FFFF6565"/>
      </bottom>
      <diagonal/>
    </border>
    <border>
      <left style="thin">
        <color rgb="FFFF6565"/>
      </left>
      <right style="thin">
        <color rgb="FFFF6565"/>
      </right>
      <top/>
      <bottom style="thin">
        <color rgb="FFFF6565"/>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ck">
        <color theme="5"/>
      </right>
      <top/>
      <bottom/>
      <diagonal/>
    </border>
    <border>
      <left style="thin">
        <color rgb="FFFF6565"/>
      </left>
      <right style="thick">
        <color theme="5"/>
      </right>
      <top/>
      <bottom style="thin">
        <color rgb="FFFF6565"/>
      </bottom>
      <diagonal/>
    </border>
    <border>
      <left style="thin">
        <color rgb="FFFF6565"/>
      </left>
      <right style="thick">
        <color theme="5"/>
      </right>
      <top style="thin">
        <color rgb="FFFF6565"/>
      </top>
      <bottom style="thin">
        <color rgb="FFFF6565"/>
      </bottom>
      <diagonal/>
    </border>
    <border>
      <left/>
      <right/>
      <top/>
      <bottom style="medium">
        <color indexed="64"/>
      </bottom>
      <diagonal/>
    </border>
    <border>
      <left style="thin">
        <color indexed="64"/>
      </left>
      <right style="thin">
        <color indexed="64"/>
      </right>
      <top/>
      <bottom/>
      <diagonal/>
    </border>
    <border>
      <left/>
      <right style="thin">
        <color theme="5"/>
      </right>
      <top/>
      <bottom/>
      <diagonal/>
    </border>
    <border>
      <left style="thin">
        <color rgb="FFFF6565"/>
      </left>
      <right/>
      <top style="thin">
        <color rgb="FFFF6565"/>
      </top>
      <bottom style="thin">
        <color rgb="FFFF6565"/>
      </bottom>
      <diagonal/>
    </border>
    <border>
      <left style="thin">
        <color rgb="FFFF6565"/>
      </left>
      <right style="thin">
        <color rgb="FFFF6565"/>
      </right>
      <top style="thin">
        <color rgb="FFFF6565"/>
      </top>
      <bottom/>
      <diagonal/>
    </border>
    <border>
      <left style="thin">
        <color rgb="FFFF6565"/>
      </left>
      <right/>
      <top style="thin">
        <color rgb="FFFF6565"/>
      </top>
      <bottom/>
      <diagonal/>
    </border>
    <border>
      <left style="thin">
        <color rgb="FFABABAB"/>
      </left>
      <right style="thin">
        <color rgb="FFABABAB"/>
      </right>
      <top style="thin">
        <color rgb="FFABABAB"/>
      </top>
      <bottom/>
      <diagonal/>
    </border>
    <border>
      <left style="thin">
        <color rgb="FFABABAB"/>
      </left>
      <right style="thin">
        <color rgb="FFABABAB"/>
      </right>
      <top style="thin">
        <color rgb="FFABABAB"/>
      </top>
      <bottom style="thin">
        <color rgb="FFABABAB"/>
      </bottom>
      <diagonal/>
    </border>
    <border>
      <left/>
      <right style="thick">
        <color theme="5"/>
      </right>
      <top style="thin">
        <color rgb="FFFF6565"/>
      </top>
      <bottom style="thin">
        <color rgb="FFFF6565"/>
      </bottom>
      <diagonal/>
    </border>
    <border>
      <left style="thin">
        <color rgb="FF7F7F7F"/>
      </left>
      <right style="thin">
        <color rgb="FF7F7F7F"/>
      </right>
      <top style="thin">
        <color rgb="FF7F7F7F"/>
      </top>
      <bottom style="thin">
        <color rgb="FF7F7F7F"/>
      </bottom>
      <diagonal/>
    </border>
    <border>
      <left/>
      <right style="medium">
        <color theme="8"/>
      </right>
      <top/>
      <bottom/>
      <diagonal/>
    </border>
    <border>
      <left style="medium">
        <color theme="8"/>
      </left>
      <right/>
      <top style="medium">
        <color theme="8"/>
      </top>
      <bottom/>
      <diagonal/>
    </border>
    <border>
      <left/>
      <right style="medium">
        <color theme="8"/>
      </right>
      <top style="medium">
        <color theme="8"/>
      </top>
      <bottom/>
      <diagonal/>
    </border>
    <border>
      <left style="medium">
        <color theme="8"/>
      </left>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8"/>
      </left>
      <right style="medium">
        <color theme="8"/>
      </right>
      <top style="medium">
        <color theme="8"/>
      </top>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style="thin">
        <color theme="5"/>
      </right>
      <top/>
      <bottom style="thin">
        <color theme="5"/>
      </bottom>
      <diagonal/>
    </border>
    <border>
      <left style="thin">
        <color theme="5"/>
      </left>
      <right/>
      <top/>
      <bottom style="thin">
        <color theme="5"/>
      </bottom>
      <diagonal/>
    </border>
    <border>
      <left style="thin">
        <color theme="5"/>
      </left>
      <right style="thin">
        <color theme="5"/>
      </right>
      <top/>
      <bottom style="thin">
        <color theme="5"/>
      </bottom>
      <diagonal/>
    </border>
    <border>
      <left style="thin">
        <color theme="5"/>
      </left>
      <right/>
      <top style="thick">
        <color rgb="FFFF6565"/>
      </top>
      <bottom style="thin">
        <color theme="5"/>
      </bottom>
      <diagonal/>
    </border>
    <border>
      <left/>
      <right style="thin">
        <color theme="5"/>
      </right>
      <top style="thick">
        <color rgb="FFFF6565"/>
      </top>
      <bottom style="thin">
        <color theme="5"/>
      </bottom>
      <diagonal/>
    </border>
    <border>
      <left style="thin">
        <color theme="5"/>
      </left>
      <right/>
      <top/>
      <bottom/>
      <diagonal/>
    </border>
    <border>
      <left style="thick">
        <color rgb="FFFF6565"/>
      </left>
      <right/>
      <top style="thick">
        <color rgb="FFFF6565"/>
      </top>
      <bottom style="thick">
        <color rgb="FFFF6565"/>
      </bottom>
      <diagonal/>
    </border>
    <border>
      <left/>
      <right/>
      <top style="thick">
        <color rgb="FFFF6565"/>
      </top>
      <bottom style="thick">
        <color rgb="FFFF6565"/>
      </bottom>
      <diagonal/>
    </border>
    <border>
      <left style="thin">
        <color theme="5"/>
      </left>
      <right style="thin">
        <color theme="5"/>
      </right>
      <top style="thin">
        <color theme="5"/>
      </top>
      <bottom style="thin">
        <color theme="5"/>
      </bottom>
      <diagonal/>
    </border>
  </borders>
  <cellStyleXfs count="9">
    <xf numFmtId="0" fontId="0" fillId="0" borderId="0"/>
    <xf numFmtId="14" fontId="1" fillId="0" borderId="0" applyFont="0" applyFill="0" applyBorder="0">
      <alignment horizontal="left" wrapText="1"/>
    </xf>
    <xf numFmtId="164" fontId="1" fillId="0" borderId="0">
      <alignment horizontal="left"/>
    </xf>
    <xf numFmtId="0" fontId="1" fillId="0" borderId="0">
      <alignment wrapText="1"/>
    </xf>
    <xf numFmtId="0" fontId="2" fillId="0" borderId="0" applyNumberFormat="0" applyFill="0" applyBorder="0" applyProtection="0">
      <alignment vertical="center"/>
    </xf>
    <xf numFmtId="0" fontId="3" fillId="0" borderId="0" applyNumberFormat="0" applyFill="0" applyProtection="0">
      <alignment vertical="center"/>
    </xf>
    <xf numFmtId="0" fontId="15" fillId="0" borderId="0" applyNumberFormat="0" applyFill="0" applyBorder="0" applyAlignment="0" applyProtection="0"/>
    <xf numFmtId="0" fontId="16" fillId="0" borderId="0" applyNumberFormat="0" applyFill="0" applyBorder="0" applyAlignment="0" applyProtection="0"/>
    <xf numFmtId="0" fontId="35" fillId="8" borderId="24" applyNumberFormat="0" applyAlignment="0" applyProtection="0"/>
  </cellStyleXfs>
  <cellXfs count="228">
    <xf numFmtId="0" fontId="0" fillId="0" borderId="0" xfId="0"/>
    <xf numFmtId="0" fontId="1" fillId="0" borderId="0" xfId="3" applyProtection="1">
      <alignment wrapText="1"/>
      <protection locked="0"/>
    </xf>
    <xf numFmtId="0" fontId="1" fillId="0" borderId="0" xfId="3" applyAlignment="1" applyProtection="1">
      <alignment horizontal="center" wrapText="1"/>
      <protection locked="0"/>
    </xf>
    <xf numFmtId="0" fontId="4" fillId="0" borderId="4" xfId="3" applyFont="1" applyBorder="1" applyAlignment="1" applyProtection="1">
      <alignment horizontal="left" vertical="center" shrinkToFit="1"/>
      <protection locked="0"/>
    </xf>
    <xf numFmtId="1" fontId="4" fillId="0" borderId="4" xfId="3" applyNumberFormat="1" applyFont="1" applyBorder="1" applyAlignment="1" applyProtection="1">
      <alignment horizontal="left" shrinkToFit="1"/>
      <protection locked="0"/>
    </xf>
    <xf numFmtId="164" fontId="4" fillId="0" borderId="4" xfId="2" applyFont="1" applyBorder="1" applyAlignment="1" applyProtection="1">
      <alignment horizontal="left" vertical="center" shrinkToFit="1"/>
      <protection locked="0"/>
    </xf>
    <xf numFmtId="165" fontId="4" fillId="0" borderId="4" xfId="2" applyNumberFormat="1" applyFont="1" applyBorder="1" applyAlignment="1" applyProtection="1">
      <alignment horizontal="left" vertical="center" shrinkToFit="1"/>
      <protection locked="0"/>
    </xf>
    <xf numFmtId="0" fontId="4" fillId="0" borderId="4" xfId="3" applyFont="1" applyBorder="1" applyAlignment="1" applyProtection="1">
      <alignment vertical="center" shrinkToFit="1"/>
      <protection locked="0"/>
    </xf>
    <xf numFmtId="165" fontId="4" fillId="0" borderId="4" xfId="2" applyNumberFormat="1" applyFont="1" applyBorder="1" applyAlignment="1" applyProtection="1">
      <alignment horizontal="center" vertical="center" shrinkToFit="1"/>
      <protection locked="0"/>
    </xf>
    <xf numFmtId="165" fontId="4" fillId="0" borderId="5" xfId="2" applyNumberFormat="1" applyFont="1" applyBorder="1" applyAlignment="1" applyProtection="1">
      <alignment horizontal="center" vertical="center" shrinkToFit="1"/>
      <protection locked="0"/>
    </xf>
    <xf numFmtId="165" fontId="1" fillId="0" borderId="0" xfId="3" applyNumberFormat="1" applyProtection="1">
      <alignment wrapText="1"/>
      <protection locked="0"/>
    </xf>
    <xf numFmtId="1" fontId="4" fillId="0" borderId="4" xfId="3" quotePrefix="1" applyNumberFormat="1" applyFont="1" applyBorder="1" applyAlignment="1" applyProtection="1">
      <alignment horizontal="left" shrinkToFit="1"/>
      <protection locked="0"/>
    </xf>
    <xf numFmtId="0" fontId="5" fillId="0" borderId="0" xfId="0" applyFont="1"/>
    <xf numFmtId="0" fontId="1" fillId="0" borderId="0" xfId="3" applyAlignment="1" applyProtection="1">
      <alignment horizontal="left" wrapText="1" indent="1"/>
      <protection locked="0"/>
    </xf>
    <xf numFmtId="0" fontId="6" fillId="0" borderId="0" xfId="0" applyFont="1" applyAlignment="1">
      <alignment horizontal="left"/>
    </xf>
    <xf numFmtId="1" fontId="5" fillId="0" borderId="0" xfId="0" applyNumberFormat="1" applyFont="1" applyAlignment="1">
      <alignment horizontal="left"/>
    </xf>
    <xf numFmtId="0" fontId="5" fillId="0" borderId="0" xfId="0" applyFont="1" applyAlignment="1">
      <alignment horizontal="left"/>
    </xf>
    <xf numFmtId="0" fontId="14" fillId="0" borderId="0" xfId="0" applyFont="1" applyAlignment="1">
      <alignment horizontal="left"/>
    </xf>
    <xf numFmtId="1" fontId="14" fillId="0" borderId="0" xfId="0" applyNumberFormat="1" applyFont="1" applyAlignment="1">
      <alignment horizontal="left"/>
    </xf>
    <xf numFmtId="165" fontId="14" fillId="0" borderId="0" xfId="0" applyNumberFormat="1" applyFont="1" applyAlignment="1">
      <alignment horizontal="left"/>
    </xf>
    <xf numFmtId="0" fontId="6" fillId="0" borderId="0" xfId="0" applyFont="1" applyAlignment="1">
      <alignment horizontal="center"/>
    </xf>
    <xf numFmtId="0" fontId="14" fillId="0" borderId="0" xfId="0" applyFont="1" applyAlignment="1">
      <alignment horizontal="center"/>
    </xf>
    <xf numFmtId="1" fontId="14" fillId="0" borderId="0" xfId="0" applyNumberFormat="1" applyFont="1" applyAlignment="1">
      <alignment horizontal="center"/>
    </xf>
    <xf numFmtId="165" fontId="14" fillId="0" borderId="0" xfId="0" applyNumberFormat="1" applyFont="1" applyAlignment="1">
      <alignment horizontal="center"/>
    </xf>
    <xf numFmtId="2" fontId="14" fillId="0" borderId="0" xfId="0" applyNumberFormat="1" applyFont="1" applyAlignment="1">
      <alignment horizontal="center"/>
    </xf>
    <xf numFmtId="165" fontId="14" fillId="4" borderId="6" xfId="0" applyNumberFormat="1" applyFont="1" applyFill="1" applyBorder="1" applyAlignment="1">
      <alignment horizontal="center"/>
    </xf>
    <xf numFmtId="165" fontId="14" fillId="4" borderId="6" xfId="0" applyNumberFormat="1" applyFont="1" applyFill="1" applyBorder="1" applyAlignment="1">
      <alignment horizontal="left"/>
    </xf>
    <xf numFmtId="2" fontId="14" fillId="4" borderId="6" xfId="0" applyNumberFormat="1" applyFont="1" applyFill="1" applyBorder="1" applyAlignment="1">
      <alignment horizontal="center"/>
    </xf>
    <xf numFmtId="0" fontId="15" fillId="0" borderId="0" xfId="6"/>
    <xf numFmtId="0" fontId="15" fillId="0" borderId="0" xfId="6" applyAlignment="1">
      <alignment horizontal="left"/>
    </xf>
    <xf numFmtId="0" fontId="16" fillId="0" borderId="0" xfId="7"/>
    <xf numFmtId="0" fontId="16" fillId="0" borderId="0" xfId="7" applyAlignment="1">
      <alignment horizontal="left"/>
    </xf>
    <xf numFmtId="165" fontId="13" fillId="0" borderId="0" xfId="0" applyNumberFormat="1" applyFont="1" applyAlignment="1">
      <alignment horizontal="left"/>
    </xf>
    <xf numFmtId="0" fontId="13" fillId="0" borderId="0" xfId="0" applyFont="1" applyAlignment="1">
      <alignment horizontal="left"/>
    </xf>
    <xf numFmtId="0" fontId="0" fillId="0" borderId="0" xfId="0" applyProtection="1">
      <protection hidden="1"/>
    </xf>
    <xf numFmtId="0" fontId="0" fillId="5" borderId="0" xfId="0" applyFill="1" applyProtection="1">
      <protection hidden="1"/>
    </xf>
    <xf numFmtId="0" fontId="13" fillId="0" borderId="15" xfId="0" applyFont="1" applyBorder="1" applyAlignment="1" applyProtection="1">
      <alignment horizontal="left"/>
      <protection hidden="1"/>
    </xf>
    <xf numFmtId="0" fontId="13" fillId="0" borderId="15" xfId="0" applyFont="1" applyBorder="1" applyProtection="1">
      <protection hidden="1"/>
    </xf>
    <xf numFmtId="0" fontId="13" fillId="0" borderId="15" xfId="0" applyFont="1" applyBorder="1" applyAlignment="1" applyProtection="1">
      <alignment horizontal="right" indent="1"/>
      <protection hidden="1"/>
    </xf>
    <xf numFmtId="0" fontId="6" fillId="0" borderId="0" xfId="0" applyFont="1" applyAlignment="1" applyProtection="1">
      <alignment vertical="center"/>
      <protection hidden="1"/>
    </xf>
    <xf numFmtId="0" fontId="13" fillId="0" borderId="0" xfId="0" applyFont="1" applyAlignment="1" applyProtection="1">
      <alignment horizontal="center" vertical="center"/>
      <protection hidden="1"/>
    </xf>
    <xf numFmtId="0" fontId="13" fillId="6" borderId="6" xfId="0" applyFont="1" applyFill="1" applyBorder="1" applyAlignment="1" applyProtection="1">
      <alignment horizontal="center" vertical="center"/>
      <protection hidden="1"/>
    </xf>
    <xf numFmtId="0" fontId="0" fillId="0" borderId="6" xfId="0" applyBorder="1" applyProtection="1">
      <protection hidden="1"/>
    </xf>
    <xf numFmtId="0" fontId="0" fillId="0" borderId="0" xfId="0" applyProtection="1">
      <protection locked="0" hidden="1"/>
    </xf>
    <xf numFmtId="0" fontId="12" fillId="0" borderId="0" xfId="0" applyFont="1" applyProtection="1">
      <protection locked="0" hidden="1"/>
    </xf>
    <xf numFmtId="0" fontId="10" fillId="0" borderId="0" xfId="0" applyFont="1" applyAlignment="1" applyProtection="1">
      <alignment horizontal="right"/>
      <protection locked="0" hidden="1"/>
    </xf>
    <xf numFmtId="0" fontId="10" fillId="0" borderId="0" xfId="0" applyFont="1" applyAlignment="1" applyProtection="1">
      <alignment shrinkToFit="1"/>
      <protection locked="0" hidden="1"/>
    </xf>
    <xf numFmtId="0" fontId="13" fillId="0" borderId="0" xfId="0" applyFont="1" applyAlignment="1" applyProtection="1">
      <alignment horizontal="center" vertical="center"/>
      <protection locked="0" hidden="1"/>
    </xf>
    <xf numFmtId="0" fontId="5" fillId="0" borderId="0" xfId="0" applyFont="1" applyProtection="1">
      <protection hidden="1"/>
    </xf>
    <xf numFmtId="0" fontId="5" fillId="0" borderId="0" xfId="0" applyFont="1" applyAlignment="1" applyProtection="1">
      <alignment vertical="center"/>
      <protection hidden="1"/>
    </xf>
    <xf numFmtId="0" fontId="7" fillId="0" borderId="0" xfId="0" applyFont="1" applyAlignment="1" applyProtection="1">
      <alignment vertical="center"/>
      <protection hidden="1"/>
    </xf>
    <xf numFmtId="0" fontId="7" fillId="4" borderId="6" xfId="0" applyFont="1" applyFill="1" applyBorder="1" applyAlignment="1" applyProtection="1">
      <alignment horizontal="center" vertical="center"/>
      <protection hidden="1"/>
    </xf>
    <xf numFmtId="0" fontId="5" fillId="0" borderId="0" xfId="0" applyFont="1" applyAlignment="1" applyProtection="1">
      <alignment horizontal="left" vertical="center"/>
      <protection hidden="1"/>
    </xf>
    <xf numFmtId="0" fontId="5" fillId="0" borderId="0" xfId="0" applyFont="1" applyAlignment="1" applyProtection="1">
      <alignment horizontal="left" vertical="center" wrapText="1"/>
      <protection hidden="1"/>
    </xf>
    <xf numFmtId="0" fontId="10" fillId="0" borderId="0" xfId="0" applyFont="1" applyAlignment="1" applyProtection="1">
      <alignment horizontal="left"/>
      <protection locked="0" hidden="1"/>
    </xf>
    <xf numFmtId="0" fontId="11" fillId="0" borderId="0" xfId="0" applyFont="1" applyProtection="1">
      <protection locked="0" hidden="1"/>
    </xf>
    <xf numFmtId="0" fontId="5" fillId="0" borderId="0" xfId="0" applyFont="1" applyAlignment="1" applyProtection="1">
      <alignment horizontal="left" vertical="center"/>
      <protection locked="0" hidden="1"/>
    </xf>
    <xf numFmtId="0" fontId="5" fillId="0" borderId="0" xfId="0" applyFont="1" applyAlignment="1" applyProtection="1">
      <alignment horizontal="left" vertical="center" wrapText="1"/>
      <protection locked="0" hidden="1"/>
    </xf>
    <xf numFmtId="0" fontId="5" fillId="0" borderId="0" xfId="0" applyFont="1" applyProtection="1">
      <protection locked="0" hidden="1"/>
    </xf>
    <xf numFmtId="0" fontId="7" fillId="4" borderId="6" xfId="0" applyFont="1" applyFill="1" applyBorder="1" applyAlignment="1" applyProtection="1">
      <alignment horizontal="center" vertical="center"/>
      <protection locked="0" hidden="1"/>
    </xf>
    <xf numFmtId="0" fontId="8" fillId="3" borderId="6" xfId="0" applyFont="1" applyFill="1" applyBorder="1" applyProtection="1">
      <protection hidden="1"/>
    </xf>
    <xf numFmtId="0" fontId="6" fillId="3" borderId="6" xfId="0" applyFont="1" applyFill="1" applyBorder="1" applyAlignment="1" applyProtection="1">
      <alignment horizontal="center" vertical="center"/>
      <protection hidden="1"/>
    </xf>
    <xf numFmtId="0" fontId="6" fillId="0" borderId="6" xfId="0" applyFont="1" applyBorder="1" applyAlignment="1" applyProtection="1">
      <alignment horizontal="center" vertical="center" wrapText="1"/>
      <protection hidden="1"/>
    </xf>
    <xf numFmtId="0" fontId="13" fillId="6" borderId="6" xfId="0" applyFont="1" applyFill="1" applyBorder="1" applyAlignment="1" applyProtection="1">
      <alignment horizontal="center" vertical="center"/>
      <protection locked="0" hidden="1"/>
    </xf>
    <xf numFmtId="2" fontId="4" fillId="0" borderId="5" xfId="2" applyNumberFormat="1" applyFont="1" applyBorder="1" applyAlignment="1" applyProtection="1">
      <alignment horizontal="center" vertical="center" shrinkToFit="1"/>
      <protection locked="0"/>
    </xf>
    <xf numFmtId="2" fontId="4" fillId="0" borderId="4" xfId="2" applyNumberFormat="1" applyFont="1" applyBorder="1" applyAlignment="1" applyProtection="1">
      <alignment horizontal="center" vertical="center" shrinkToFit="1"/>
      <protection locked="0"/>
    </xf>
    <xf numFmtId="166" fontId="13" fillId="6" borderId="6" xfId="0" applyNumberFormat="1" applyFont="1" applyFill="1" applyBorder="1" applyAlignment="1" applyProtection="1">
      <alignment horizontal="center" vertical="center"/>
      <protection locked="0" hidden="1"/>
    </xf>
    <xf numFmtId="0" fontId="20" fillId="0" borderId="0" xfId="0" applyFont="1"/>
    <xf numFmtId="0" fontId="19" fillId="0" borderId="0" xfId="0" applyFont="1"/>
    <xf numFmtId="0" fontId="19" fillId="0" borderId="0" xfId="0" applyFont="1" applyAlignment="1">
      <alignment horizontal="center"/>
    </xf>
    <xf numFmtId="0" fontId="21" fillId="0" borderId="0" xfId="0" applyFont="1" applyAlignment="1">
      <alignment horizontal="center"/>
    </xf>
    <xf numFmtId="0" fontId="4" fillId="0" borderId="0" xfId="3" applyFont="1" applyProtection="1">
      <alignment wrapText="1"/>
      <protection locked="0"/>
    </xf>
    <xf numFmtId="0" fontId="1" fillId="0" borderId="0" xfId="3" applyAlignment="1" applyProtection="1">
      <alignment horizontal="left" wrapText="1"/>
      <protection locked="0"/>
    </xf>
    <xf numFmtId="165" fontId="4" fillId="0" borderId="13" xfId="2" applyNumberFormat="1" applyFont="1" applyBorder="1" applyAlignment="1" applyProtection="1">
      <alignment horizontal="left" vertical="center" shrinkToFit="1"/>
      <protection locked="0"/>
    </xf>
    <xf numFmtId="165" fontId="4" fillId="0" borderId="14" xfId="2" applyNumberFormat="1" applyFont="1" applyBorder="1" applyAlignment="1" applyProtection="1">
      <alignment horizontal="left" vertical="center" shrinkToFit="1"/>
      <protection locked="0"/>
    </xf>
    <xf numFmtId="165" fontId="4" fillId="0" borderId="5" xfId="2" applyNumberFormat="1" applyFont="1" applyBorder="1" applyAlignment="1" applyProtection="1">
      <alignment horizontal="left" vertical="center" shrinkToFit="1"/>
      <protection locked="0"/>
    </xf>
    <xf numFmtId="0" fontId="30" fillId="0" borderId="0" xfId="0" applyFont="1"/>
    <xf numFmtId="0" fontId="32" fillId="0" borderId="0" xfId="0" applyFont="1"/>
    <xf numFmtId="0" fontId="24" fillId="0" borderId="0" xfId="0" applyFont="1" applyAlignment="1">
      <alignment horizontal="left" vertical="center"/>
    </xf>
    <xf numFmtId="0" fontId="4" fillId="0" borderId="0" xfId="0" applyFont="1" applyAlignment="1">
      <alignment horizontal="left" vertical="center"/>
    </xf>
    <xf numFmtId="0" fontId="4" fillId="0" borderId="4" xfId="3" applyFont="1" applyBorder="1" applyProtection="1">
      <alignment wrapText="1"/>
      <protection locked="0"/>
    </xf>
    <xf numFmtId="2" fontId="4" fillId="0" borderId="4" xfId="3" applyNumberFormat="1" applyFont="1" applyBorder="1" applyProtection="1">
      <alignment wrapText="1"/>
      <protection locked="0"/>
    </xf>
    <xf numFmtId="165" fontId="4" fillId="0" borderId="4" xfId="3" applyNumberFormat="1" applyFont="1" applyBorder="1" applyProtection="1">
      <alignment wrapText="1"/>
      <protection locked="0"/>
    </xf>
    <xf numFmtId="0" fontId="4" fillId="0" borderId="18" xfId="3" applyFont="1" applyBorder="1" applyAlignment="1" applyProtection="1">
      <alignment horizontal="left" wrapText="1"/>
      <protection locked="0"/>
    </xf>
    <xf numFmtId="0" fontId="4" fillId="0" borderId="19" xfId="3" applyFont="1" applyBorder="1" applyProtection="1">
      <alignment wrapText="1"/>
      <protection locked="0"/>
    </xf>
    <xf numFmtId="165" fontId="4" fillId="0" borderId="19" xfId="2" applyNumberFormat="1" applyFont="1" applyBorder="1" applyAlignment="1" applyProtection="1">
      <alignment horizontal="left" vertical="center" shrinkToFit="1"/>
      <protection locked="0"/>
    </xf>
    <xf numFmtId="2" fontId="4" fillId="0" borderId="19" xfId="3" applyNumberFormat="1" applyFont="1" applyBorder="1" applyProtection="1">
      <alignment wrapText="1"/>
      <protection locked="0"/>
    </xf>
    <xf numFmtId="165" fontId="4" fillId="0" borderId="19" xfId="3" applyNumberFormat="1" applyFont="1" applyBorder="1" applyProtection="1">
      <alignment wrapText="1"/>
      <protection locked="0"/>
    </xf>
    <xf numFmtId="0" fontId="4" fillId="0" borderId="19" xfId="3" applyFont="1" applyBorder="1" applyAlignment="1" applyProtection="1">
      <alignment horizontal="left" vertical="center" shrinkToFit="1"/>
      <protection locked="0"/>
    </xf>
    <xf numFmtId="0" fontId="4" fillId="0" borderId="20" xfId="3" applyFont="1" applyBorder="1" applyAlignment="1" applyProtection="1">
      <alignment horizontal="left" wrapText="1"/>
      <protection locked="0"/>
    </xf>
    <xf numFmtId="0" fontId="0" fillId="0" borderId="21" xfId="0" pivotButton="1" applyBorder="1"/>
    <xf numFmtId="0" fontId="0" fillId="0" borderId="22" xfId="0" applyBorder="1" applyAlignment="1">
      <alignment horizontal="left"/>
    </xf>
    <xf numFmtId="166" fontId="0" fillId="0" borderId="0" xfId="0" applyNumberFormat="1"/>
    <xf numFmtId="0" fontId="0" fillId="0" borderId="0" xfId="0" applyAlignment="1">
      <alignment wrapText="1"/>
    </xf>
    <xf numFmtId="0" fontId="0" fillId="0" borderId="0" xfId="0" applyAlignment="1">
      <alignment horizontal="center"/>
    </xf>
    <xf numFmtId="0" fontId="4" fillId="0" borderId="0" xfId="3" applyFont="1" applyAlignment="1">
      <alignment horizontal="center" wrapText="1"/>
    </xf>
    <xf numFmtId="0" fontId="4" fillId="0" borderId="0" xfId="3" applyFont="1" applyAlignment="1">
      <alignment horizontal="left" wrapText="1"/>
    </xf>
    <xf numFmtId="0" fontId="1" fillId="0" borderId="0" xfId="3">
      <alignment wrapText="1"/>
    </xf>
    <xf numFmtId="165" fontId="1" fillId="0" borderId="0" xfId="3" applyNumberFormat="1">
      <alignment wrapText="1"/>
    </xf>
    <xf numFmtId="0" fontId="1" fillId="0" borderId="0" xfId="3" applyAlignment="1">
      <alignment horizontal="left" wrapText="1"/>
    </xf>
    <xf numFmtId="0" fontId="1" fillId="0" borderId="0" xfId="3" applyAlignment="1">
      <alignment horizontal="left" wrapText="1" indent="1"/>
    </xf>
    <xf numFmtId="0" fontId="1" fillId="0" borderId="0" xfId="3" applyAlignment="1">
      <alignment horizontal="center" wrapText="1"/>
    </xf>
    <xf numFmtId="0" fontId="29" fillId="0" borderId="0" xfId="3" applyFont="1" applyAlignment="1">
      <alignment vertical="top" wrapText="1"/>
    </xf>
    <xf numFmtId="0" fontId="22" fillId="0" borderId="0" xfId="3" applyFont="1" applyAlignment="1">
      <alignment horizontal="center" vertical="center" wrapText="1"/>
    </xf>
    <xf numFmtId="0" fontId="22" fillId="0" borderId="3" xfId="3" applyFont="1" applyBorder="1" applyAlignment="1">
      <alignment horizontal="center" vertical="center"/>
    </xf>
    <xf numFmtId="0" fontId="22" fillId="0" borderId="0" xfId="3" applyFont="1" applyAlignment="1">
      <alignment horizontal="center" vertical="center"/>
    </xf>
    <xf numFmtId="0" fontId="22" fillId="0" borderId="2" xfId="3" applyFont="1" applyBorder="1" applyAlignment="1">
      <alignment horizontal="center" vertical="center"/>
    </xf>
    <xf numFmtId="165" fontId="22" fillId="0" borderId="4" xfId="2" applyNumberFormat="1" applyFont="1" applyBorder="1" applyAlignment="1">
      <alignment horizontal="center" vertical="center" wrapText="1" shrinkToFit="1"/>
    </xf>
    <xf numFmtId="0" fontId="22" fillId="0" borderId="12" xfId="3" applyFont="1" applyBorder="1" applyAlignment="1">
      <alignment horizontal="center" vertical="center"/>
    </xf>
    <xf numFmtId="0" fontId="22" fillId="0" borderId="0" xfId="0" applyFont="1" applyAlignment="1">
      <alignment horizontal="center" vertical="center"/>
    </xf>
    <xf numFmtId="0" fontId="22" fillId="0" borderId="0" xfId="0" quotePrefix="1" applyFont="1" applyAlignment="1">
      <alignment horizontal="left" vertical="center" wrapText="1" indent="3"/>
    </xf>
    <xf numFmtId="0" fontId="22" fillId="0" borderId="0" xfId="3" quotePrefix="1" applyFont="1" applyAlignment="1">
      <alignment horizontal="center" vertical="center" wrapText="1"/>
    </xf>
    <xf numFmtId="0" fontId="22" fillId="0" borderId="0" xfId="0" quotePrefix="1" applyFont="1" applyAlignment="1">
      <alignment horizontal="center" vertical="center" wrapText="1"/>
    </xf>
    <xf numFmtId="0" fontId="35" fillId="8" borderId="24" xfId="8"/>
    <xf numFmtId="0" fontId="27" fillId="0" borderId="1" xfId="3" applyFont="1" applyBorder="1" applyAlignment="1">
      <alignment horizontal="left" wrapText="1" indent="1"/>
    </xf>
    <xf numFmtId="0" fontId="27" fillId="0" borderId="0" xfId="3" applyFont="1" applyAlignment="1">
      <alignment horizontal="left" wrapText="1" indent="1"/>
    </xf>
    <xf numFmtId="0" fontId="28" fillId="10" borderId="0" xfId="4" applyFont="1" applyFill="1" applyBorder="1" applyAlignment="1" applyProtection="1">
      <alignment vertical="top" wrapText="1"/>
    </xf>
    <xf numFmtId="165" fontId="34" fillId="9" borderId="23" xfId="2" applyNumberFormat="1" applyFont="1" applyFill="1" applyBorder="1" applyAlignment="1">
      <alignment horizontal="left" vertical="center" shrinkToFit="1"/>
    </xf>
    <xf numFmtId="0" fontId="28" fillId="10" borderId="17" xfId="4" applyFont="1" applyFill="1" applyBorder="1" applyAlignment="1" applyProtection="1">
      <alignment vertical="top" wrapText="1"/>
    </xf>
    <xf numFmtId="166" fontId="0" fillId="0" borderId="25" xfId="0" applyNumberFormat="1" applyBorder="1"/>
    <xf numFmtId="166" fontId="0" fillId="0" borderId="26" xfId="0" applyNumberFormat="1" applyBorder="1"/>
    <xf numFmtId="166" fontId="0" fillId="0" borderId="27" xfId="0" applyNumberFormat="1" applyBorder="1"/>
    <xf numFmtId="166" fontId="0" fillId="7" borderId="28" xfId="0" applyNumberFormat="1" applyFill="1" applyBorder="1"/>
    <xf numFmtId="166" fontId="0" fillId="7" borderId="25" xfId="0" applyNumberFormat="1" applyFill="1" applyBorder="1"/>
    <xf numFmtId="166" fontId="0" fillId="7" borderId="29" xfId="0" applyNumberFormat="1" applyFill="1" applyBorder="1"/>
    <xf numFmtId="166" fontId="0" fillId="7" borderId="30" xfId="0" applyNumberFormat="1" applyFill="1" applyBorder="1"/>
    <xf numFmtId="166" fontId="0" fillId="0" borderId="31" xfId="0" applyNumberFormat="1" applyBorder="1"/>
    <xf numFmtId="166" fontId="0" fillId="7" borderId="32" xfId="0" applyNumberFormat="1" applyFill="1" applyBorder="1"/>
    <xf numFmtId="166" fontId="0" fillId="7" borderId="33" xfId="0" applyNumberFormat="1" applyFill="1" applyBorder="1"/>
    <xf numFmtId="0" fontId="5" fillId="0" borderId="6" xfId="0" applyFont="1" applyBorder="1" applyAlignment="1" applyProtection="1">
      <alignment horizontal="center" vertical="center"/>
      <protection hidden="1"/>
    </xf>
    <xf numFmtId="166" fontId="5" fillId="0" borderId="6" xfId="0" applyNumberFormat="1" applyFont="1" applyBorder="1" applyAlignment="1" applyProtection="1">
      <alignment horizontal="left" vertical="center" wrapText="1"/>
      <protection hidden="1"/>
    </xf>
    <xf numFmtId="166" fontId="5" fillId="0" borderId="6" xfId="0" applyNumberFormat="1" applyFont="1" applyBorder="1" applyAlignment="1" applyProtection="1">
      <alignment horizontal="center" vertical="center"/>
      <protection hidden="1"/>
    </xf>
    <xf numFmtId="166" fontId="5" fillId="0" borderId="6" xfId="0" applyNumberFormat="1" applyFont="1" applyBorder="1" applyAlignment="1" applyProtection="1">
      <alignment horizontal="left" vertical="center" shrinkToFit="1"/>
      <protection hidden="1"/>
    </xf>
    <xf numFmtId="166" fontId="5" fillId="0" borderId="6" xfId="0" applyNumberFormat="1" applyFont="1" applyBorder="1" applyAlignment="1" applyProtection="1">
      <alignment horizontal="center" vertical="center" wrapText="1"/>
      <protection hidden="1"/>
    </xf>
    <xf numFmtId="0" fontId="38" fillId="0" borderId="6" xfId="0" applyFont="1" applyBorder="1" applyAlignment="1" applyProtection="1">
      <alignment horizontal="center" vertical="center"/>
      <protection hidden="1"/>
    </xf>
    <xf numFmtId="166" fontId="17" fillId="0" borderId="6" xfId="0" applyNumberFormat="1" applyFont="1" applyBorder="1" applyAlignment="1" applyProtection="1">
      <alignment horizontal="center"/>
      <protection hidden="1"/>
    </xf>
    <xf numFmtId="166" fontId="17" fillId="0" borderId="6" xfId="0" applyNumberFormat="1" applyFont="1" applyBorder="1" applyAlignment="1" applyProtection="1">
      <alignment horizontal="left" indent="1"/>
      <protection hidden="1"/>
    </xf>
    <xf numFmtId="166" fontId="17" fillId="0" borderId="6" xfId="0" applyNumberFormat="1" applyFont="1" applyBorder="1" applyAlignment="1" applyProtection="1">
      <alignment horizontal="center" vertical="center"/>
      <protection hidden="1"/>
    </xf>
    <xf numFmtId="166" fontId="39" fillId="0" borderId="6" xfId="0" applyNumberFormat="1" applyFont="1" applyBorder="1" applyAlignment="1" applyProtection="1">
      <alignment horizontal="center"/>
      <protection hidden="1"/>
    </xf>
    <xf numFmtId="166" fontId="39" fillId="0" borderId="6" xfId="0" applyNumberFormat="1" applyFont="1" applyBorder="1" applyAlignment="1" applyProtection="1">
      <alignment horizontal="left" indent="1"/>
      <protection hidden="1"/>
    </xf>
    <xf numFmtId="166" fontId="39" fillId="0" borderId="6" xfId="0" applyNumberFormat="1" applyFont="1" applyBorder="1" applyAlignment="1" applyProtection="1">
      <alignment horizontal="center" vertical="center"/>
      <protection hidden="1"/>
    </xf>
    <xf numFmtId="0" fontId="24" fillId="0" borderId="0" xfId="0" applyFont="1" applyProtection="1">
      <protection locked="0"/>
    </xf>
    <xf numFmtId="0" fontId="40" fillId="0" borderId="0" xfId="0" applyFont="1" applyAlignment="1" applyProtection="1">
      <alignment horizontal="center"/>
      <protection locked="0"/>
    </xf>
    <xf numFmtId="0" fontId="24" fillId="0" borderId="0" xfId="0" applyFont="1" applyAlignment="1" applyProtection="1">
      <alignment horizontal="center"/>
      <protection locked="0"/>
    </xf>
    <xf numFmtId="0" fontId="33" fillId="0" borderId="0" xfId="0" applyFont="1" applyAlignment="1">
      <alignment vertical="center"/>
    </xf>
    <xf numFmtId="0" fontId="33" fillId="0" borderId="0" xfId="0" applyFont="1" applyAlignment="1" applyProtection="1">
      <alignment horizontal="left" vertical="center" indent="1"/>
      <protection locked="0"/>
    </xf>
    <xf numFmtId="0" fontId="33" fillId="0" borderId="0" xfId="0" applyFont="1" applyAlignment="1">
      <alignment horizontal="left" vertical="center" indent="1"/>
    </xf>
    <xf numFmtId="0" fontId="24" fillId="0" borderId="0" xfId="0" applyFont="1" applyAlignment="1">
      <alignment horizontal="left" vertical="center" indent="1"/>
    </xf>
    <xf numFmtId="0" fontId="0" fillId="0" borderId="0" xfId="3" applyFont="1">
      <alignment wrapText="1"/>
    </xf>
    <xf numFmtId="0" fontId="29" fillId="10" borderId="0" xfId="3" applyFont="1" applyFill="1" applyAlignment="1">
      <alignment vertical="top" wrapText="1"/>
    </xf>
    <xf numFmtId="0" fontId="25" fillId="10" borderId="36" xfId="3" applyFont="1" applyFill="1" applyBorder="1" applyAlignment="1">
      <alignment horizontal="center" vertical="center" wrapText="1"/>
    </xf>
    <xf numFmtId="0" fontId="29" fillId="10" borderId="39" xfId="3" applyFont="1" applyFill="1" applyBorder="1" applyAlignment="1">
      <alignment vertical="top" wrapText="1"/>
    </xf>
    <xf numFmtId="0" fontId="26" fillId="0" borderId="1" xfId="3" applyFont="1" applyBorder="1" applyAlignment="1">
      <alignment vertical="center" shrinkToFit="1"/>
    </xf>
    <xf numFmtId="0" fontId="31" fillId="0" borderId="1" xfId="3" applyFont="1" applyBorder="1" applyAlignment="1" applyProtection="1">
      <alignment vertical="center" shrinkToFit="1"/>
      <protection locked="0"/>
    </xf>
    <xf numFmtId="0" fontId="20" fillId="10" borderId="0" xfId="0" applyFont="1" applyFill="1"/>
    <xf numFmtId="0" fontId="19" fillId="10" borderId="0" xfId="0" applyFont="1" applyFill="1"/>
    <xf numFmtId="0" fontId="19" fillId="10" borderId="0" xfId="0" applyFont="1" applyFill="1" applyAlignment="1">
      <alignment horizontal="center"/>
    </xf>
    <xf numFmtId="0" fontId="0" fillId="10" borderId="0" xfId="0" applyFill="1"/>
    <xf numFmtId="0" fontId="24" fillId="10" borderId="0" xfId="0" applyFont="1" applyFill="1" applyAlignment="1">
      <alignment horizontal="left" vertical="center" indent="1"/>
    </xf>
    <xf numFmtId="0" fontId="24" fillId="10" borderId="0" xfId="0" applyFont="1" applyFill="1"/>
    <xf numFmtId="0" fontId="33" fillId="10" borderId="0" xfId="0" applyFont="1" applyFill="1"/>
    <xf numFmtId="0" fontId="40" fillId="9" borderId="42" xfId="0" applyFont="1" applyFill="1" applyBorder="1"/>
    <xf numFmtId="0" fontId="24" fillId="0" borderId="42" xfId="0" applyFont="1" applyBorder="1"/>
    <xf numFmtId="0" fontId="40" fillId="9" borderId="42" xfId="0" applyFont="1" applyFill="1" applyBorder="1" applyAlignment="1">
      <alignment horizontal="center"/>
    </xf>
    <xf numFmtId="0" fontId="24" fillId="0" borderId="42" xfId="0" applyFont="1" applyBorder="1" applyAlignment="1">
      <alignment horizontal="center"/>
    </xf>
    <xf numFmtId="0" fontId="33" fillId="0" borderId="42" xfId="0" applyFont="1" applyBorder="1" applyAlignment="1">
      <alignment horizontal="left" vertical="center" indent="1"/>
    </xf>
    <xf numFmtId="166" fontId="14" fillId="0" borderId="0" xfId="0" applyNumberFormat="1" applyFont="1" applyAlignment="1">
      <alignment horizontal="left"/>
    </xf>
    <xf numFmtId="0" fontId="26" fillId="2" borderId="1" xfId="3" applyFont="1" applyFill="1" applyBorder="1" applyAlignment="1" applyProtection="1">
      <alignment horizontal="left" vertical="center" indent="1" shrinkToFit="1"/>
      <protection locked="0"/>
    </xf>
    <xf numFmtId="0" fontId="25" fillId="10" borderId="37" xfId="0" applyFont="1" applyFill="1" applyBorder="1" applyAlignment="1">
      <alignment horizontal="center" vertical="center" wrapText="1"/>
    </xf>
    <xf numFmtId="0" fontId="25" fillId="10" borderId="38" xfId="0" applyFont="1" applyFill="1" applyBorder="1" applyAlignment="1">
      <alignment horizontal="center" vertical="center" wrapText="1"/>
    </xf>
    <xf numFmtId="0" fontId="26" fillId="2" borderId="1" xfId="3" applyFont="1" applyFill="1" applyBorder="1" applyAlignment="1">
      <alignment horizontal="left" vertical="center" indent="1" shrinkToFit="1"/>
    </xf>
    <xf numFmtId="0" fontId="26" fillId="2" borderId="40" xfId="3" applyFont="1" applyFill="1" applyBorder="1" applyAlignment="1">
      <alignment horizontal="left" vertical="center" indent="1" shrinkToFit="1"/>
    </xf>
    <xf numFmtId="0" fontId="26" fillId="2" borderId="41" xfId="3" applyFont="1" applyFill="1" applyBorder="1" applyAlignment="1">
      <alignment horizontal="left" vertical="center" indent="1" shrinkToFit="1"/>
    </xf>
    <xf numFmtId="0" fontId="25" fillId="10" borderId="35" xfId="0" applyFont="1" applyFill="1" applyBorder="1" applyAlignment="1">
      <alignment horizontal="center" vertical="center" wrapText="1"/>
    </xf>
    <xf numFmtId="0" fontId="25" fillId="10" borderId="34" xfId="0" applyFont="1" applyFill="1" applyBorder="1" applyAlignment="1">
      <alignment horizontal="center" vertical="center" wrapText="1"/>
    </xf>
    <xf numFmtId="165" fontId="14" fillId="4" borderId="8" xfId="0" applyNumberFormat="1" applyFont="1" applyFill="1" applyBorder="1" applyAlignment="1">
      <alignment horizontal="center"/>
    </xf>
    <xf numFmtId="165" fontId="14" fillId="4" borderId="9" xfId="0" applyNumberFormat="1" applyFont="1" applyFill="1" applyBorder="1" applyAlignment="1">
      <alignment horizontal="center"/>
    </xf>
    <xf numFmtId="165" fontId="18" fillId="4" borderId="8" xfId="0" applyNumberFormat="1" applyFont="1" applyFill="1" applyBorder="1" applyAlignment="1">
      <alignment horizontal="left"/>
    </xf>
    <xf numFmtId="165" fontId="18" fillId="4" borderId="9" xfId="0" applyNumberFormat="1" applyFont="1" applyFill="1" applyBorder="1" applyAlignment="1">
      <alignment horizontal="left"/>
    </xf>
    <xf numFmtId="165" fontId="14" fillId="4" borderId="8" xfId="0" applyNumberFormat="1" applyFont="1" applyFill="1" applyBorder="1" applyAlignment="1">
      <alignment horizontal="center" vertical="center"/>
    </xf>
    <xf numFmtId="165" fontId="14" fillId="4" borderId="16" xfId="0" applyNumberFormat="1" applyFont="1" applyFill="1" applyBorder="1" applyAlignment="1">
      <alignment horizontal="center" vertical="center"/>
    </xf>
    <xf numFmtId="165" fontId="14" fillId="4" borderId="9" xfId="0" applyNumberFormat="1" applyFont="1" applyFill="1" applyBorder="1" applyAlignment="1">
      <alignment horizontal="center" vertical="center"/>
    </xf>
    <xf numFmtId="0" fontId="10" fillId="0" borderId="0" xfId="0" applyFont="1" applyAlignment="1" applyProtection="1">
      <alignment horizontal="left" shrinkToFit="1"/>
      <protection locked="0" hidden="1"/>
    </xf>
    <xf numFmtId="0" fontId="7" fillId="0" borderId="10" xfId="0" applyFont="1" applyBorder="1" applyAlignment="1" applyProtection="1">
      <alignment horizontal="right" vertical="center" wrapText="1"/>
      <protection hidden="1"/>
    </xf>
    <xf numFmtId="0" fontId="7" fillId="0" borderId="11" xfId="0" applyFont="1" applyBorder="1" applyAlignment="1" applyProtection="1">
      <alignment horizontal="right" vertical="center" wrapText="1"/>
      <protection hidden="1"/>
    </xf>
    <xf numFmtId="0" fontId="7" fillId="0" borderId="7" xfId="0" applyFont="1" applyBorder="1" applyAlignment="1" applyProtection="1">
      <alignment horizontal="right" vertical="center" wrapText="1"/>
      <protection hidden="1"/>
    </xf>
    <xf numFmtId="0" fontId="7" fillId="3" borderId="8" xfId="0" applyFont="1" applyFill="1" applyBorder="1" applyAlignment="1" applyProtection="1">
      <alignment horizontal="center" vertical="center"/>
      <protection locked="0" hidden="1"/>
    </xf>
    <xf numFmtId="0" fontId="7" fillId="3" borderId="9" xfId="0" applyFont="1" applyFill="1" applyBorder="1" applyAlignment="1" applyProtection="1">
      <alignment horizontal="center" vertical="center"/>
      <protection locked="0" hidden="1"/>
    </xf>
    <xf numFmtId="0" fontId="7" fillId="3" borderId="10" xfId="0" applyFont="1" applyFill="1" applyBorder="1" applyAlignment="1" applyProtection="1">
      <alignment horizontal="center" vertical="center"/>
      <protection locked="0" hidden="1"/>
    </xf>
    <xf numFmtId="0" fontId="7" fillId="3" borderId="7" xfId="0" applyFont="1" applyFill="1" applyBorder="1" applyAlignment="1" applyProtection="1">
      <alignment horizontal="center" vertical="center"/>
      <protection locked="0" hidden="1"/>
    </xf>
    <xf numFmtId="0" fontId="7" fillId="3" borderId="8" xfId="0" applyFont="1" applyFill="1" applyBorder="1" applyAlignment="1" applyProtection="1">
      <alignment horizontal="center" vertical="center" wrapText="1"/>
      <protection locked="0" hidden="1"/>
    </xf>
    <xf numFmtId="0" fontId="7" fillId="3" borderId="9" xfId="0" applyFont="1" applyFill="1" applyBorder="1" applyAlignment="1" applyProtection="1">
      <alignment horizontal="center" vertical="center" wrapText="1"/>
      <protection locked="0" hidden="1"/>
    </xf>
    <xf numFmtId="0" fontId="7" fillId="3" borderId="10" xfId="0" applyFont="1" applyFill="1" applyBorder="1" applyAlignment="1" applyProtection="1">
      <alignment horizontal="left" vertical="center" wrapText="1"/>
      <protection locked="0" hidden="1"/>
    </xf>
    <xf numFmtId="0" fontId="7" fillId="3" borderId="11" xfId="0" applyFont="1" applyFill="1" applyBorder="1" applyAlignment="1" applyProtection="1">
      <alignment horizontal="left" vertical="center" wrapText="1"/>
      <protection locked="0" hidden="1"/>
    </xf>
    <xf numFmtId="0" fontId="7" fillId="3" borderId="7" xfId="0" applyFont="1" applyFill="1" applyBorder="1" applyAlignment="1" applyProtection="1">
      <alignment horizontal="left" vertical="center" wrapText="1"/>
      <protection locked="0" hidden="1"/>
    </xf>
    <xf numFmtId="166" fontId="7" fillId="3" borderId="10" xfId="0" applyNumberFormat="1" applyFont="1" applyFill="1" applyBorder="1" applyAlignment="1" applyProtection="1">
      <alignment horizontal="left" vertical="center" wrapText="1"/>
      <protection locked="0" hidden="1"/>
    </xf>
    <xf numFmtId="166" fontId="7" fillId="3" borderId="11" xfId="0" applyNumberFormat="1" applyFont="1" applyFill="1" applyBorder="1" applyAlignment="1" applyProtection="1">
      <alignment horizontal="left" vertical="center" wrapText="1"/>
      <protection locked="0" hidden="1"/>
    </xf>
    <xf numFmtId="166" fontId="7" fillId="3" borderId="7" xfId="0" applyNumberFormat="1" applyFont="1" applyFill="1" applyBorder="1" applyAlignment="1" applyProtection="1">
      <alignment horizontal="left" vertical="center" wrapText="1"/>
      <protection locked="0" hidden="1"/>
    </xf>
    <xf numFmtId="0" fontId="7" fillId="3" borderId="8" xfId="0" applyFont="1" applyFill="1" applyBorder="1" applyAlignment="1" applyProtection="1">
      <alignment horizontal="center" vertical="center"/>
      <protection hidden="1"/>
    </xf>
    <xf numFmtId="0" fontId="7" fillId="3" borderId="9" xfId="0" applyFont="1" applyFill="1" applyBorder="1" applyAlignment="1" applyProtection="1">
      <alignment horizontal="center" vertical="center"/>
      <protection hidden="1"/>
    </xf>
    <xf numFmtId="0" fontId="7" fillId="3" borderId="10" xfId="0" applyFont="1" applyFill="1" applyBorder="1" applyAlignment="1" applyProtection="1">
      <alignment horizontal="center" vertical="center"/>
      <protection hidden="1"/>
    </xf>
    <xf numFmtId="0" fontId="7" fillId="3" borderId="7"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wrapText="1"/>
      <protection hidden="1"/>
    </xf>
    <xf numFmtId="0" fontId="7" fillId="3" borderId="9" xfId="0" applyFont="1" applyFill="1" applyBorder="1" applyAlignment="1" applyProtection="1">
      <alignment horizontal="center" vertical="center" wrapText="1"/>
      <protection hidden="1"/>
    </xf>
    <xf numFmtId="0" fontId="7" fillId="3" borderId="10" xfId="0" applyFont="1" applyFill="1" applyBorder="1" applyAlignment="1" applyProtection="1">
      <alignment horizontal="left" vertical="center" wrapText="1"/>
      <protection hidden="1"/>
    </xf>
    <xf numFmtId="0" fontId="7" fillId="3" borderId="11" xfId="0" applyFont="1" applyFill="1" applyBorder="1" applyAlignment="1" applyProtection="1">
      <alignment horizontal="left" vertical="center" wrapText="1"/>
      <protection hidden="1"/>
    </xf>
    <xf numFmtId="0" fontId="7" fillId="3" borderId="7" xfId="0" applyFont="1" applyFill="1" applyBorder="1" applyAlignment="1" applyProtection="1">
      <alignment horizontal="left" vertical="center" wrapText="1"/>
      <protection hidden="1"/>
    </xf>
    <xf numFmtId="0" fontId="13" fillId="6" borderId="10" xfId="0" applyFont="1" applyFill="1" applyBorder="1" applyAlignment="1" applyProtection="1">
      <alignment horizontal="right" vertical="center"/>
      <protection hidden="1"/>
    </xf>
    <xf numFmtId="0" fontId="13" fillId="6" borderId="11" xfId="0" applyFont="1" applyFill="1" applyBorder="1" applyAlignment="1" applyProtection="1">
      <alignment horizontal="right" vertical="center"/>
      <protection hidden="1"/>
    </xf>
    <xf numFmtId="0" fontId="13" fillId="6" borderId="7" xfId="0" applyFont="1" applyFill="1" applyBorder="1" applyAlignment="1" applyProtection="1">
      <alignment horizontal="right" vertical="center"/>
      <protection hidden="1"/>
    </xf>
    <xf numFmtId="0" fontId="13" fillId="6" borderId="6" xfId="0" applyFont="1" applyFill="1" applyBorder="1" applyAlignment="1" applyProtection="1">
      <alignment horizontal="center" vertical="center" wrapText="1"/>
      <protection hidden="1"/>
    </xf>
    <xf numFmtId="0" fontId="13" fillId="6" borderId="6" xfId="0" applyFont="1" applyFill="1" applyBorder="1" applyAlignment="1" applyProtection="1">
      <alignment horizontal="center" vertical="center"/>
      <protection hidden="1"/>
    </xf>
    <xf numFmtId="0" fontId="13" fillId="6" borderId="10" xfId="0" applyFont="1" applyFill="1" applyBorder="1" applyAlignment="1" applyProtection="1">
      <alignment horizontal="center" vertical="center"/>
      <protection hidden="1"/>
    </xf>
    <xf numFmtId="0" fontId="13" fillId="6" borderId="7" xfId="0" applyFont="1" applyFill="1" applyBorder="1" applyAlignment="1" applyProtection="1">
      <alignment horizontal="center" vertical="center"/>
      <protection hidden="1"/>
    </xf>
    <xf numFmtId="0" fontId="13" fillId="6" borderId="6" xfId="0" applyFont="1" applyFill="1" applyBorder="1" applyAlignment="1" applyProtection="1">
      <alignment horizontal="center" vertical="center" wrapText="1"/>
      <protection locked="0" hidden="1"/>
    </xf>
    <xf numFmtId="0" fontId="13" fillId="6" borderId="6" xfId="0" applyFont="1" applyFill="1" applyBorder="1" applyAlignment="1" applyProtection="1">
      <alignment horizontal="center" vertical="center"/>
      <protection locked="0" hidden="1"/>
    </xf>
    <xf numFmtId="0" fontId="13" fillId="6" borderId="10" xfId="0" applyFont="1" applyFill="1" applyBorder="1" applyAlignment="1" applyProtection="1">
      <alignment horizontal="center" vertical="center"/>
      <protection locked="0" hidden="1"/>
    </xf>
    <xf numFmtId="0" fontId="13" fillId="6" borderId="7" xfId="0" applyFont="1" applyFill="1" applyBorder="1" applyAlignment="1" applyProtection="1">
      <alignment horizontal="center" vertical="center"/>
      <protection locked="0" hidden="1"/>
    </xf>
    <xf numFmtId="0" fontId="13" fillId="6" borderId="10" xfId="0" applyFont="1" applyFill="1" applyBorder="1" applyAlignment="1" applyProtection="1">
      <alignment horizontal="right" vertical="center"/>
      <protection locked="0" hidden="1"/>
    </xf>
    <xf numFmtId="0" fontId="13" fillId="6" borderId="11" xfId="0" applyFont="1" applyFill="1" applyBorder="1" applyAlignment="1" applyProtection="1">
      <alignment horizontal="right" vertical="center"/>
      <protection locked="0" hidden="1"/>
    </xf>
    <xf numFmtId="0" fontId="13" fillId="6" borderId="7" xfId="0" applyFont="1" applyFill="1" applyBorder="1" applyAlignment="1" applyProtection="1">
      <alignment horizontal="right" vertical="center"/>
      <protection locked="0" hidden="1"/>
    </xf>
    <xf numFmtId="166" fontId="13" fillId="6" borderId="10" xfId="0" applyNumberFormat="1" applyFont="1" applyFill="1" applyBorder="1" applyAlignment="1" applyProtection="1">
      <alignment horizontal="right" vertical="center"/>
      <protection hidden="1"/>
    </xf>
    <xf numFmtId="166" fontId="13" fillId="6" borderId="11" xfId="0" applyNumberFormat="1" applyFont="1" applyFill="1" applyBorder="1" applyAlignment="1" applyProtection="1">
      <alignment horizontal="right" vertical="center"/>
      <protection hidden="1"/>
    </xf>
    <xf numFmtId="166" fontId="13" fillId="6" borderId="7" xfId="0" applyNumberFormat="1" applyFont="1" applyFill="1" applyBorder="1" applyAlignment="1" applyProtection="1">
      <alignment horizontal="right" vertical="center"/>
      <protection hidden="1"/>
    </xf>
    <xf numFmtId="166" fontId="13" fillId="6" borderId="6" xfId="0" applyNumberFormat="1" applyFont="1" applyFill="1" applyBorder="1" applyAlignment="1" applyProtection="1">
      <alignment horizontal="center" vertical="center" wrapText="1"/>
      <protection locked="0" hidden="1"/>
    </xf>
    <xf numFmtId="166" fontId="13" fillId="6" borderId="6" xfId="0" applyNumberFormat="1" applyFont="1" applyFill="1" applyBorder="1" applyAlignment="1" applyProtection="1">
      <alignment horizontal="center" vertical="center"/>
      <protection locked="0" hidden="1"/>
    </xf>
    <xf numFmtId="166" fontId="13" fillId="6" borderId="10" xfId="0" applyNumberFormat="1" applyFont="1" applyFill="1" applyBorder="1" applyAlignment="1" applyProtection="1">
      <alignment horizontal="center" vertical="center"/>
      <protection locked="0" hidden="1"/>
    </xf>
    <xf numFmtId="166" fontId="13" fillId="6" borderId="7" xfId="0" applyNumberFormat="1" applyFont="1" applyFill="1" applyBorder="1" applyAlignment="1" applyProtection="1">
      <alignment horizontal="center" vertical="center"/>
      <protection locked="0" hidden="1"/>
    </xf>
  </cellXfs>
  <cellStyles count="9">
    <cellStyle name="Calculation" xfId="8" builtinId="22"/>
    <cellStyle name="Date" xfId="1" xr:uid="{8916839A-8511-48BF-82B1-E0B5B10E68C8}"/>
    <cellStyle name="Explanatory Text" xfId="7" builtinId="53"/>
    <cellStyle name="Heading 2 2" xfId="5" xr:uid="{310C94D3-010E-49FE-8C69-6D4C82597612}"/>
    <cellStyle name="Heading 4" xfId="6" builtinId="19"/>
    <cellStyle name="Normal" xfId="0" builtinId="0"/>
    <cellStyle name="Normal 2" xfId="3" xr:uid="{56B9AD21-88F2-459C-8D83-6126D89A5D05}"/>
    <cellStyle name="Phone" xfId="2" xr:uid="{0D824D01-80D7-42F2-8F93-F6D18FE467F6}"/>
    <cellStyle name="Title 2" xfId="4" xr:uid="{118D9445-434A-4DED-92D0-98B9376B51B9}"/>
  </cellStyles>
  <dxfs count="166">
    <dxf>
      <numFmt numFmtId="166" formatCode="0;\-0;;@"/>
      <fill>
        <patternFill patternType="solid">
          <fgColor indexed="64"/>
          <bgColor theme="4" tint="0.79998168889431442"/>
        </patternFill>
      </fill>
      <border diagonalUp="0" diagonalDown="0">
        <left style="medium">
          <color theme="8"/>
        </left>
        <right style="medium">
          <color theme="8"/>
        </right>
        <top/>
        <bottom/>
        <vertical/>
        <horizontal/>
      </border>
    </dxf>
    <dxf>
      <numFmt numFmtId="166" formatCode="0;\-0;;@"/>
      <fill>
        <patternFill patternType="solid">
          <fgColor indexed="64"/>
          <bgColor theme="4" tint="0.79998168889431442"/>
        </patternFill>
      </fill>
      <border diagonalUp="0" diagonalDown="0">
        <left style="medium">
          <color theme="8"/>
        </left>
        <right style="medium">
          <color theme="8"/>
        </right>
        <top/>
        <bottom/>
        <vertical/>
        <horizontal/>
      </border>
    </dxf>
    <dxf>
      <numFmt numFmtId="166" formatCode="0;\-0;;@"/>
      <fill>
        <patternFill patternType="solid">
          <fgColor indexed="64"/>
          <bgColor theme="4" tint="0.79998168889431442"/>
        </patternFill>
      </fill>
      <border diagonalUp="0" diagonalDown="0" outline="0">
        <left/>
        <right style="medium">
          <color theme="8"/>
        </right>
        <top/>
        <bottom/>
      </border>
    </dxf>
    <dxf>
      <numFmt numFmtId="166" formatCode="0;\-0;;@"/>
      <fill>
        <patternFill patternType="solid">
          <fgColor indexed="64"/>
          <bgColor theme="4" tint="0.79998168889431442"/>
        </patternFill>
      </fill>
      <border diagonalUp="0" diagonalDown="0" outline="0">
        <left style="medium">
          <color theme="8"/>
        </left>
        <right/>
        <top/>
        <bottom/>
      </border>
    </dxf>
    <dxf>
      <numFmt numFmtId="166" formatCode="0;\-0;;@"/>
      <border diagonalUp="0" diagonalDown="0">
        <left/>
        <right style="medium">
          <color theme="8"/>
        </right>
        <top/>
        <bottom/>
        <vertical/>
        <horizontal/>
      </border>
    </dxf>
    <dxf>
      <numFmt numFmtId="166" formatCode="0;\-0;;@"/>
    </dxf>
    <dxf>
      <numFmt numFmtId="166" formatCode="0;\-0;;@"/>
      <fill>
        <patternFill patternType="solid">
          <fgColor indexed="64"/>
          <bgColor theme="4" tint="0.79998168889431442"/>
        </patternFill>
      </fill>
      <border diagonalUp="0" diagonalDown="0">
        <left style="medium">
          <color theme="8"/>
        </left>
        <right style="medium">
          <color theme="8"/>
        </right>
        <top/>
        <bottom/>
        <vertical/>
        <horizontal/>
      </border>
    </dxf>
    <dxf>
      <numFmt numFmtId="166" formatCode="0;\-0;;@"/>
      <fill>
        <patternFill patternType="solid">
          <fgColor indexed="64"/>
          <bgColor theme="4" tint="0.79998168889431442"/>
        </patternFill>
      </fill>
      <border diagonalUp="0" diagonalDown="0">
        <left style="medium">
          <color theme="8"/>
        </left>
        <right style="medium">
          <color theme="8"/>
        </right>
        <top/>
        <bottom/>
        <vertical/>
        <horizontal/>
      </border>
    </dxf>
    <dxf>
      <numFmt numFmtId="166" formatCode="0;\-0;;@"/>
      <fill>
        <patternFill patternType="solid">
          <fgColor indexed="64"/>
          <bgColor theme="4" tint="0.79998168889431442"/>
        </patternFill>
      </fill>
      <border diagonalUp="0" diagonalDown="0">
        <left/>
        <right style="medium">
          <color theme="8"/>
        </right>
        <top/>
        <bottom/>
        <vertical/>
        <horizontal/>
      </border>
    </dxf>
    <dxf>
      <numFmt numFmtId="166" formatCode="0;\-0;;@"/>
      <fill>
        <patternFill patternType="solid">
          <fgColor indexed="64"/>
          <bgColor theme="4" tint="0.79998168889431442"/>
        </patternFill>
      </fill>
      <border diagonalUp="0" diagonalDown="0">
        <left style="medium">
          <color theme="8"/>
        </left>
        <right/>
        <top/>
        <bottom/>
        <vertical/>
        <horizontal/>
      </border>
    </dxf>
    <dxf>
      <numFmt numFmtId="166" formatCode="0;\-0;;@"/>
      <fill>
        <patternFill patternType="none">
          <fgColor indexed="64"/>
          <bgColor auto="1"/>
        </patternFill>
      </fill>
    </dxf>
    <dxf>
      <numFmt numFmtId="166" formatCode="0;\-0;;@"/>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alignment horizontal="left" vertical="bottom" textRotation="0" wrapText="1" indent="0" justifyLastLine="0" shrinkToFit="0" readingOrder="0"/>
      <protection locked="1"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1"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b val="0"/>
        <i val="0"/>
        <strike val="0"/>
        <condense val="0"/>
        <extend val="0"/>
        <outline val="0"/>
        <shadow val="0"/>
        <u val="none"/>
        <vertAlign val="baseline"/>
        <sz val="12"/>
        <color theme="1"/>
        <name val="Calibri"/>
        <family val="2"/>
        <scheme val="minor"/>
      </font>
      <alignment horizontal="left" vertical="bottom" textRotation="0" wrapText="1" indent="0" justifyLastLine="0" shrinkToFit="0" readingOrder="0"/>
      <protection locked="1" hidden="0"/>
    </dxf>
    <dxf>
      <font>
        <strike val="0"/>
        <outline val="0"/>
        <shadow val="0"/>
        <u val="none"/>
        <vertAlign val="baseline"/>
        <sz val="12"/>
        <color theme="1"/>
        <name val="Calibri"/>
        <family val="2"/>
        <scheme val="minor"/>
      </font>
      <alignment horizontal="center" textRotation="0" indent="0" justifyLastLine="0" readingOrder="0"/>
      <protection locked="1" hidden="0"/>
    </dxf>
    <dxf>
      <alignment horizontal="center" textRotation="0" indent="0" justifyLastLine="0" readingOrder="0"/>
      <protection locked="1" hidden="0"/>
    </dxf>
    <dxf>
      <protection locked="1" hidden="0"/>
    </dxf>
    <dxf>
      <numFmt numFmtId="0" formatCode="General"/>
      <protection locked="1" hidden="0"/>
    </dxf>
    <dxf>
      <font>
        <strike val="0"/>
        <outline val="0"/>
        <shadow val="0"/>
        <u val="none"/>
        <vertAlign val="baseline"/>
        <sz val="12"/>
        <color theme="1"/>
        <name val="Calibri"/>
        <family val="2"/>
        <scheme val="minor"/>
      </font>
      <alignment horizontal="left" textRotation="0" indent="0" justifyLastLine="0" readingOrder="0"/>
      <border diagonalUp="0" diagonalDown="0">
        <left style="thin">
          <color rgb="FFFF6565"/>
        </left>
        <right/>
        <top style="thin">
          <color rgb="FFFF6565"/>
        </top>
        <bottom style="thin">
          <color rgb="FFFF6565"/>
        </bottom>
      </border>
      <protection locked="0" hidden="0"/>
    </dxf>
    <dxf>
      <font>
        <strike val="0"/>
        <outline val="0"/>
        <shadow val="0"/>
        <u val="none"/>
        <vertAlign val="baseline"/>
        <sz val="12"/>
        <color theme="1"/>
        <name val="Calibri"/>
        <family val="2"/>
        <scheme val="minor"/>
      </font>
      <alignment horizontal="left" vertical="center" textRotation="0" wrapText="0" indent="0" justifyLastLine="0" shrinkToFit="1" readingOrder="0"/>
      <border diagonalUp="0" diagonalDown="0">
        <left style="thin">
          <color rgb="FFFF6565"/>
        </left>
        <right style="thin">
          <color rgb="FFFF6565"/>
        </right>
        <top style="thin">
          <color rgb="FFFF6565"/>
        </top>
        <bottom style="thin">
          <color rgb="FFFF6565"/>
        </bottom>
      </border>
      <protection locked="0" hidden="0"/>
    </dxf>
    <dxf>
      <font>
        <strike val="0"/>
        <outline val="0"/>
        <shadow val="0"/>
        <u val="none"/>
        <vertAlign val="baseline"/>
        <sz val="12"/>
        <color theme="1"/>
        <name val="Calibri"/>
        <family val="2"/>
        <scheme val="minor"/>
      </font>
      <numFmt numFmtId="165" formatCode="mm\/dd\/yyyy"/>
      <border diagonalUp="0" diagonalDown="0">
        <left style="thin">
          <color rgb="FFFF6565"/>
        </left>
        <right style="thin">
          <color rgb="FFFF6565"/>
        </right>
        <top style="thin">
          <color rgb="FFFF6565"/>
        </top>
        <bottom style="thin">
          <color rgb="FFFF6565"/>
        </bottom>
      </border>
      <protection locked="0" hidden="0"/>
    </dxf>
    <dxf>
      <font>
        <strike val="0"/>
        <outline val="0"/>
        <shadow val="0"/>
        <u val="none"/>
        <vertAlign val="baseline"/>
        <sz val="12"/>
        <color theme="1"/>
        <name val="Calibri"/>
        <family val="2"/>
        <scheme val="minor"/>
      </font>
      <numFmt numFmtId="2" formatCode="0.00"/>
      <border diagonalUp="0" diagonalDown="0">
        <left style="thin">
          <color rgb="FFFF6565"/>
        </left>
        <right style="thin">
          <color rgb="FFFF6565"/>
        </right>
        <top style="thin">
          <color rgb="FFFF6565"/>
        </top>
        <bottom style="thin">
          <color rgb="FFFF6565"/>
        </bottom>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b val="0"/>
        <i val="0"/>
        <strike val="0"/>
        <condense val="0"/>
        <extend val="0"/>
        <outline val="0"/>
        <shadow val="0"/>
        <u val="none"/>
        <vertAlign val="baseline"/>
        <sz val="12"/>
        <color theme="1"/>
        <name val="Calibri"/>
        <family val="2"/>
        <scheme val="minor"/>
      </font>
      <numFmt numFmtId="165" formatCode="mm\/dd\/yyyy"/>
      <alignment horizontal="left" vertical="center" textRotation="0" wrapText="0" indent="0" justifyLastLine="0" shrinkToFit="1" readingOrder="0"/>
      <border diagonalUp="0" diagonalDown="0">
        <left style="thin">
          <color rgb="FFFF6565"/>
        </left>
        <right style="thin">
          <color rgb="FFFF6565"/>
        </right>
        <top style="thin">
          <color rgb="FFFF6565"/>
        </top>
        <bottom style="thin">
          <color rgb="FFFF6565"/>
        </bottom>
        <vertical/>
        <horizontal/>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b val="0"/>
        <i val="0"/>
        <strike val="0"/>
        <condense val="0"/>
        <extend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horizontal/>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strike val="0"/>
        <outline val="0"/>
        <shadow val="0"/>
        <u val="none"/>
        <vertAlign val="baseline"/>
        <sz val="12"/>
        <color theme="1"/>
        <name val="Calibri"/>
        <family val="2"/>
        <scheme val="minor"/>
      </font>
      <border diagonalUp="0" diagonalDown="0">
        <left/>
        <right style="thin">
          <color rgb="FFFF6565"/>
        </right>
        <top style="thin">
          <color rgb="FFFF6565"/>
        </top>
        <bottom style="thin">
          <color rgb="FFFF6565"/>
        </bottom>
        <vertical style="thin">
          <color rgb="FFFF6565"/>
        </vertical>
        <horizontal style="thin">
          <color rgb="FFFF6565"/>
        </horizontal>
      </border>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4"/>
        <color theme="1"/>
        <name val="Calibri"/>
        <family val="2"/>
        <scheme val="minor"/>
      </font>
      <alignment horizontal="center" vertical="center" textRotation="0" indent="0" justifyLastLine="0" readingOrder="0"/>
      <protection locked="1" hidden="0"/>
    </dxf>
    <dxf>
      <font>
        <strike val="0"/>
        <outline val="0"/>
        <shadow val="0"/>
        <u val="none"/>
        <vertAlign val="baseline"/>
        <sz val="12"/>
        <color auto="1"/>
      </font>
      <alignment horizontal="center" vertical="bottom" textRotation="0" wrapText="0" indent="0" justifyLastLine="0" shrinkToFit="0" readingOrder="0"/>
      <protection locked="0" hidden="0"/>
    </dxf>
    <dxf>
      <font>
        <b/>
        <strike val="0"/>
        <outline val="0"/>
        <shadow val="0"/>
        <u val="none"/>
        <vertAlign val="baseline"/>
        <sz val="12"/>
        <color auto="1"/>
        <name val="Calibri"/>
        <family val="2"/>
        <scheme val="minor"/>
      </font>
      <alignment horizontal="center" vertical="bottom" textRotation="0" wrapText="0" indent="0" justifyLastLine="0" shrinkToFit="0" readingOrder="0"/>
      <protection locked="0" hidden="0"/>
    </dxf>
    <dxf>
      <font>
        <strike val="0"/>
        <outline val="0"/>
        <shadow val="0"/>
        <u val="none"/>
        <vertAlign val="baseline"/>
        <sz val="12"/>
        <color auto="1"/>
      </font>
      <protection locked="0" hidden="0"/>
    </dxf>
    <dxf>
      <font>
        <strike val="0"/>
        <outline val="0"/>
        <shadow val="0"/>
        <u val="none"/>
        <vertAlign val="baseline"/>
        <sz val="12"/>
        <color auto="1"/>
      </font>
      <protection locked="0" hidden="0"/>
    </dxf>
    <dxf>
      <font>
        <strike val="0"/>
        <outline val="0"/>
        <shadow val="0"/>
        <u val="none"/>
        <vertAlign val="baseline"/>
        <sz val="12"/>
        <color auto="1"/>
      </font>
      <protection locked="0" hidden="0"/>
    </dxf>
    <dxf>
      <font>
        <strike val="0"/>
        <outline val="0"/>
        <shadow val="0"/>
        <u val="none"/>
        <vertAlign val="baseline"/>
        <sz val="12"/>
        <color auto="1"/>
      </font>
      <alignment horizontal="left" vertical="center" textRotation="0" wrapText="0" relativeIndent="1" justifyLastLine="0" shrinkToFit="0" readingOrder="0"/>
    </dxf>
    <dxf>
      <font>
        <strike val="0"/>
        <outline val="0"/>
        <shadow val="0"/>
        <u val="none"/>
        <vertAlign val="baseline"/>
        <sz val="12"/>
        <color auto="1"/>
        <name val="Times New Roman"/>
        <family val="1"/>
        <scheme val="none"/>
      </font>
      <alignment horizontal="left" vertical="center" textRotation="0" wrapText="0" relativeIndent="1" justifyLastLine="0" shrinkToFit="0" readingOrder="0"/>
      <protection locked="0" hidden="0"/>
    </dxf>
    <dxf>
      <font>
        <strike val="0"/>
        <outline val="0"/>
        <shadow val="0"/>
        <u val="none"/>
        <vertAlign val="baseline"/>
        <sz val="12"/>
        <color auto="1"/>
        <name val="Times New Roman"/>
        <family val="1"/>
        <scheme val="none"/>
      </font>
      <alignment horizontal="general" vertical="center" textRotation="0" wrapText="0" indent="0" justifyLastLine="0" shrinkToFit="0" readingOrder="0"/>
      <protection locked="1" hidden="0"/>
    </dxf>
    <dxf>
      <font>
        <strike val="0"/>
        <outline val="0"/>
        <shadow val="0"/>
        <u val="none"/>
        <vertAlign val="baseline"/>
        <sz val="12"/>
        <color auto="1"/>
        <name val="Times New Roman"/>
        <family val="1"/>
        <scheme val="none"/>
      </font>
      <alignment horizontal="general" vertical="center" textRotation="0" wrapText="0" indent="0" justifyLastLine="0" shrinkToFit="0" readingOrder="0"/>
      <protection locked="0" hidden="0"/>
    </dxf>
    <dxf>
      <font>
        <strike val="0"/>
        <outline val="0"/>
        <shadow val="0"/>
        <u val="none"/>
        <vertAlign val="baseline"/>
        <sz val="12"/>
        <color auto="1"/>
        <name val="Times New Roman"/>
        <family val="1"/>
        <scheme val="none"/>
      </font>
      <alignment horizontal="left" vertical="center" textRotation="0" wrapText="0" relativeIndent="1" justifyLastLine="0" shrinkToFit="0" readingOrder="0"/>
    </dxf>
    <dxf>
      <fill>
        <patternFill patternType="solid">
          <fgColor theme="0" tint="-0.14999847407452621"/>
          <bgColor theme="0" tint="-0.14999847407452621"/>
        </patternFill>
      </fill>
    </dxf>
    <dxf>
      <font>
        <b/>
        <color theme="0"/>
      </font>
      <fill>
        <patternFill patternType="solid">
          <fgColor theme="7"/>
          <bgColor theme="7"/>
        </patternFill>
      </fill>
    </dxf>
    <dxf>
      <font>
        <b/>
        <color theme="0"/>
      </font>
      <fill>
        <patternFill patternType="solid">
          <fgColor theme="7"/>
          <bgColor theme="7"/>
        </patternFill>
      </fill>
    </dxf>
    <dxf>
      <border>
        <top style="double">
          <color theme="1"/>
        </top>
      </border>
    </dxf>
    <dxf>
      <font>
        <b/>
        <color theme="0"/>
      </font>
      <fill>
        <patternFill patternType="solid">
          <fgColor theme="7"/>
          <bgColor theme="7"/>
        </patternFill>
      </fill>
      <border>
        <bottom style="medium">
          <color theme="1"/>
        </bottom>
      </border>
    </dxf>
    <dxf>
      <font>
        <color theme="1"/>
      </font>
      <border>
        <top style="medium">
          <color theme="1"/>
        </top>
        <bottom style="medium">
          <color theme="1"/>
        </bottom>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8" tint="-0.249977111117893"/>
      </font>
    </dxf>
    <dxf>
      <font>
        <b/>
        <color theme="8" tint="-0.249977111117893"/>
      </font>
    </dxf>
    <dxf>
      <font>
        <b/>
        <color theme="8" tint="-0.249977111117893"/>
      </font>
      <border>
        <top style="thin">
          <color theme="8"/>
        </top>
      </border>
    </dxf>
    <dxf>
      <font>
        <b/>
        <color theme="8" tint="-0.249977111117893"/>
      </font>
      <border>
        <bottom style="thin">
          <color theme="8"/>
        </bottom>
      </border>
    </dxf>
    <dxf>
      <font>
        <color theme="8" tint="-0.249977111117893"/>
      </font>
      <border>
        <left style="thin">
          <color theme="8"/>
        </left>
        <right style="thin">
          <color theme="8"/>
        </right>
        <top style="thin">
          <color theme="8"/>
        </top>
        <bottom style="thin">
          <color theme="8"/>
        </bottom>
        <vertical style="thin">
          <color theme="8"/>
        </vertical>
        <horizontal style="thin">
          <color theme="8"/>
        </horizontal>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color theme="0"/>
      </font>
      <fill>
        <patternFill patternType="solid">
          <fgColor theme="8"/>
          <bgColor rgb="FF233D4D"/>
        </patternFill>
      </fill>
    </dxf>
    <dxf>
      <font>
        <color theme="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5" tint="0.79989013336588644"/>
          <bgColor theme="9" tint="0.79998168889431442"/>
        </patternFill>
      </fill>
    </dxf>
    <dxf>
      <fill>
        <patternFill patternType="solid">
          <fgColor theme="5" tint="0.79989013336588644"/>
          <bgColor theme="9" tint="0.79998168889431442"/>
        </patternFill>
      </fill>
    </dxf>
    <dxf>
      <font>
        <b/>
        <color theme="5" tint="-0.249977111117893"/>
      </font>
    </dxf>
    <dxf>
      <font>
        <b/>
        <color theme="5" tint="-0.249977111117893"/>
      </font>
    </dxf>
    <dxf>
      <font>
        <b/>
        <color theme="5" tint="-0.249977111117893"/>
      </font>
      <border>
        <top style="thin">
          <color theme="5"/>
        </top>
      </border>
    </dxf>
    <dxf>
      <font>
        <b/>
        <i val="0"/>
        <color theme="1" tint="4.9989318521683403E-2"/>
      </font>
      <border>
        <bottom/>
      </border>
    </dxf>
    <dxf>
      <font>
        <color theme="1" tint="4.9989318521683403E-2"/>
      </font>
      <border>
        <left style="thin">
          <color theme="9"/>
        </left>
        <right style="thin">
          <color theme="9"/>
        </right>
        <top style="thin">
          <color theme="9"/>
        </top>
        <bottom style="thin">
          <color theme="9"/>
        </bottom>
        <vertical style="thin">
          <color theme="9"/>
        </vertical>
        <horizontal style="thin">
          <color theme="9"/>
        </horizontal>
      </border>
    </dxf>
    <dxf>
      <fill>
        <patternFill patternType="solid">
          <fgColor theme="5" tint="0.79995117038483843"/>
          <bgColor theme="7" tint="0.79998168889431442"/>
        </patternFill>
      </fill>
    </dxf>
    <dxf>
      <fill>
        <patternFill patternType="solid">
          <fgColor theme="5" tint="0.79995117038483843"/>
          <bgColor theme="7" tint="0.79998168889431442"/>
        </patternFill>
      </fill>
    </dxf>
    <dxf>
      <font>
        <b/>
        <color theme="5" tint="-0.249977111117893"/>
      </font>
    </dxf>
    <dxf>
      <font>
        <b/>
        <color theme="5" tint="-0.249977111117893"/>
      </font>
    </dxf>
    <dxf>
      <font>
        <b/>
        <color theme="5" tint="-0.249977111117893"/>
      </font>
      <border>
        <top style="thin">
          <color theme="5"/>
        </top>
      </border>
    </dxf>
    <dxf>
      <font>
        <b/>
        <i val="0"/>
        <color theme="1" tint="4.9989318521683403E-2"/>
      </font>
      <border>
        <bottom style="thin">
          <color theme="5"/>
        </bottom>
      </border>
    </dxf>
    <dxf>
      <font>
        <color theme="1" tint="4.9989318521683403E-2"/>
      </font>
      <border>
        <left style="thin">
          <color theme="5"/>
        </left>
        <right style="thin">
          <color theme="5"/>
        </right>
        <top style="thin">
          <color theme="5"/>
        </top>
        <bottom style="thin">
          <color theme="5"/>
        </bottom>
        <vertical style="thin">
          <color theme="5"/>
        </vertical>
        <horizontal style="thin">
          <color theme="5"/>
        </horizontal>
      </border>
    </dxf>
    <dxf>
      <fill>
        <patternFill patternType="solid">
          <fgColor theme="5" tint="0.79992065187536243"/>
          <bgColor theme="5" tint="0.79998168889431442"/>
        </patternFill>
      </fill>
    </dxf>
    <dxf>
      <fill>
        <patternFill patternType="solid">
          <fgColor theme="5" tint="0.79992065187536243"/>
          <bgColor theme="5" tint="0.79998168889431442"/>
        </patternFill>
      </fill>
    </dxf>
    <dxf>
      <font>
        <b/>
        <color theme="5" tint="-0.249977111117893"/>
      </font>
    </dxf>
    <dxf>
      <font>
        <b/>
        <color theme="5" tint="-0.249977111117893"/>
      </font>
    </dxf>
    <dxf>
      <font>
        <b/>
        <color theme="5" tint="-0.249977111117893"/>
      </font>
      <border>
        <top style="thin">
          <color theme="5"/>
        </top>
      </border>
    </dxf>
    <dxf>
      <font>
        <b/>
        <i val="0"/>
        <color theme="1" tint="4.9989318521683403E-2"/>
      </font>
      <border>
        <bottom style="thin">
          <color theme="5"/>
        </bottom>
      </border>
    </dxf>
    <dxf>
      <font>
        <color theme="1" tint="4.9989318521683403E-2"/>
      </font>
      <border>
        <left style="thin">
          <color theme="5"/>
        </left>
        <right style="thin">
          <color theme="5"/>
        </right>
        <top style="thin">
          <color theme="5"/>
        </top>
        <bottom style="thin">
          <color theme="5"/>
        </bottom>
        <vertical style="thin">
          <color theme="5"/>
        </vertical>
        <horizontal style="thin">
          <color theme="5"/>
        </horizontal>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8" tint="-0.249977111117893"/>
      </font>
    </dxf>
    <dxf>
      <font>
        <b/>
        <color theme="8" tint="-0.249977111117893"/>
      </font>
    </dxf>
    <dxf>
      <font>
        <b/>
        <color theme="8" tint="-0.249977111117893"/>
      </font>
      <border>
        <top style="thin">
          <color theme="8"/>
        </top>
      </border>
    </dxf>
    <dxf>
      <font>
        <b/>
        <i val="0"/>
        <color theme="1"/>
      </font>
      <border>
        <bottom style="thin">
          <color theme="8"/>
        </bottom>
      </border>
    </dxf>
    <dxf>
      <font>
        <color theme="1" tint="4.9989318521683403E-2"/>
      </font>
      <border>
        <top style="thin">
          <color theme="8"/>
        </top>
        <bottom style="thin">
          <color theme="8"/>
        </bottom>
      </border>
    </dxf>
    <dxf>
      <font>
        <b/>
        <color theme="1"/>
      </font>
      <border>
        <bottom style="thin">
          <color theme="6"/>
        </bottom>
        <vertical/>
        <horizontal/>
      </border>
    </dxf>
    <dxf>
      <font>
        <color theme="1"/>
        <name val="Calibri"/>
        <family val="2"/>
        <scheme val="minor"/>
      </font>
      <fill>
        <patternFill>
          <bgColor rgb="FFA0A0A0"/>
        </patternFill>
      </fill>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color theme="1"/>
      </font>
      <fill>
        <patternFill>
          <bgColor rgb="FFA0A0A0"/>
        </patternFill>
      </fill>
      <border>
        <left style="thin">
          <color theme="6"/>
        </left>
        <right style="thin">
          <color theme="6"/>
        </right>
        <top style="thin">
          <color theme="6"/>
        </top>
        <bottom style="thin">
          <color theme="6"/>
        </bottom>
        <vertical/>
        <horizontal/>
      </border>
    </dxf>
    <dxf>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border>
        <left style="thin">
          <color theme="7"/>
        </left>
        <right style="thin">
          <color theme="7"/>
        </right>
        <top style="thin">
          <color theme="7"/>
        </top>
        <bottom style="thin">
          <color theme="7"/>
        </bottom>
        <vertical style="thin">
          <color theme="7"/>
        </vertical>
        <horizontal style="thin">
          <color theme="7"/>
        </horizontal>
      </border>
    </dxf>
    <dxf>
      <border>
        <left style="thin">
          <color theme="7"/>
        </left>
        <right style="thin">
          <color theme="7"/>
        </right>
        <top style="thin">
          <color theme="7"/>
        </top>
        <bottom style="thin">
          <color theme="7"/>
        </bottom>
        <vertical style="thin">
          <color theme="7"/>
        </vertical>
        <horizontal style="thin">
          <color theme="7"/>
        </horizontal>
      </border>
    </dxf>
    <dxf>
      <border>
        <left style="thin">
          <color theme="7"/>
        </left>
        <right style="thin">
          <color theme="7"/>
        </right>
        <top style="thin">
          <color theme="7"/>
        </top>
        <bottom style="thin">
          <color theme="7"/>
        </bottom>
        <vertical style="thin">
          <color theme="7"/>
        </vertical>
        <horizontal style="thin">
          <color theme="7"/>
        </horizontal>
      </border>
    </dxf>
    <dxf>
      <font>
        <b/>
        <color theme="1"/>
      </font>
    </dxf>
    <dxf>
      <font>
        <b/>
        <color theme="1"/>
      </font>
      <fill>
        <patternFill>
          <bgColor rgb="FFFFC000"/>
        </patternFill>
      </fill>
    </dxf>
    <dxf>
      <font>
        <b/>
        <color theme="1"/>
      </font>
      <border>
        <top style="double">
          <color theme="7"/>
        </top>
      </border>
    </dxf>
    <dxf>
      <font>
        <b/>
        <color theme="0"/>
      </font>
      <fill>
        <patternFill patternType="solid">
          <fgColor theme="7"/>
          <bgColor theme="7"/>
        </patternFill>
      </fill>
      <border>
        <left style="thin">
          <color theme="7"/>
        </left>
        <right style="thin">
          <color theme="7"/>
        </right>
        <top style="thin">
          <color theme="7"/>
        </top>
        <bottom style="thin">
          <color theme="7"/>
        </bottom>
        <vertical style="thin">
          <color theme="7"/>
        </vertical>
        <horizontal style="thin">
          <color theme="7"/>
        </horizontal>
      </border>
    </dxf>
    <dxf>
      <font>
        <color theme="1"/>
      </font>
      <border>
        <left style="thin">
          <color theme="7"/>
        </left>
        <right style="thin">
          <color theme="7"/>
        </right>
        <top style="thin">
          <color theme="7"/>
        </top>
        <bottom style="thin">
          <color theme="7"/>
        </bottom>
        <vertical style="thin">
          <color theme="7"/>
        </vertical>
        <horizontal style="thin">
          <color theme="7"/>
        </horizontal>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7" tint="-0.249977111117893"/>
      </font>
    </dxf>
    <dxf>
      <font>
        <b/>
        <color theme="7" tint="-0.249977111117893"/>
      </font>
    </dxf>
    <dxf>
      <font>
        <b/>
        <color theme="7" tint="-0.249977111117893"/>
      </font>
      <border>
        <top style="thin">
          <color theme="7"/>
        </top>
      </border>
    </dxf>
    <dxf>
      <font>
        <b/>
        <i val="0"/>
        <color theme="1" tint="4.9989318521683403E-2"/>
      </font>
      <border>
        <bottom style="thin">
          <color theme="7"/>
        </bottom>
      </border>
    </dxf>
    <dxf>
      <font>
        <color theme="1" tint="4.9989318521683403E-2"/>
      </font>
      <border>
        <top style="thin">
          <color theme="7"/>
        </top>
        <bottom style="thin">
          <color theme="7"/>
        </bottom>
      </border>
    </dxf>
  </dxfs>
  <tableStyles count="11" defaultTableStyle="TableStyleMedium2" defaultPivotStyle="PivotStyleLight16">
    <tableStyle name="layout_eligibiity" pivot="0" count="7" xr9:uid="{834D4842-0D6A-4C02-A249-010C05D326CC}">
      <tableStyleElement type="wholeTable" dxfId="165"/>
      <tableStyleElement type="headerRow" dxfId="164"/>
      <tableStyleElement type="totalRow" dxfId="163"/>
      <tableStyleElement type="firstColumn" dxfId="162"/>
      <tableStyleElement type="lastColumn" dxfId="161"/>
      <tableStyleElement type="firstRowStripe" dxfId="160"/>
      <tableStyleElement type="firstColumnStripe" dxfId="159"/>
    </tableStyle>
    <tableStyle name="mastersheet" pivot="0" count="9" xr9:uid="{31388172-D419-4779-BAA3-8AD06159F362}">
      <tableStyleElement type="wholeTable" dxfId="158"/>
      <tableStyleElement type="headerRow" dxfId="157"/>
      <tableStyleElement type="totalRow" dxfId="156"/>
      <tableStyleElement type="firstColumn" dxfId="155"/>
      <tableStyleElement type="lastColumn" dxfId="154"/>
      <tableStyleElement type="firstRowStripe" dxfId="153"/>
      <tableStyleElement type="secondRowStripe" dxfId="152"/>
      <tableStyleElement type="firstColumnStripe" dxfId="151"/>
      <tableStyleElement type="secondColumnStripe" dxfId="150"/>
    </tableStyle>
    <tableStyle name="student_name_slicer" pivot="0" table="0" count="10" xr9:uid="{95447DCC-A092-41DB-BD8D-2F41A71637ED}">
      <tableStyleElement type="wholeTable" dxfId="149"/>
      <tableStyleElement type="headerRow" dxfId="148"/>
    </tableStyle>
    <tableStyle name="student_name_slicer 2" pivot="0" table="0" count="10" xr9:uid="{5CC62050-9B8A-4A8D-8621-E9DB81C8B065}">
      <tableStyleElement type="wholeTable" dxfId="147"/>
      <tableStyleElement type="headerRow" dxfId="146"/>
    </tableStyle>
    <tableStyle name="style_contact_information" pivot="0" count="7" xr9:uid="{6AC03FE0-BA8C-4DC9-A949-24B1379BDD8A}">
      <tableStyleElement type="wholeTable" dxfId="145"/>
      <tableStyleElement type="headerRow" dxfId="144"/>
      <tableStyleElement type="totalRow" dxfId="143"/>
      <tableStyleElement type="firstColumn" dxfId="142"/>
      <tableStyleElement type="lastColumn" dxfId="141"/>
      <tableStyleElement type="firstRowStripe" dxfId="140"/>
      <tableStyleElement type="firstColumnStripe" dxfId="139"/>
    </tableStyle>
    <tableStyle name="style_learners_information" pivot="0" count="7" xr9:uid="{DD2C35B9-4632-4BDC-8EB4-C82C720DCC0F}">
      <tableStyleElement type="wholeTable" dxfId="138"/>
      <tableStyleElement type="headerRow" dxfId="137"/>
      <tableStyleElement type="totalRow" dxfId="136"/>
      <tableStyleElement type="firstColumn" dxfId="135"/>
      <tableStyleElement type="lastColumn" dxfId="134"/>
      <tableStyleElement type="firstRowStripe" dxfId="133"/>
      <tableStyleElement type="firstColumnStripe" dxfId="132"/>
    </tableStyle>
    <tableStyle name="style_mastersheet" pivot="0" count="7" xr9:uid="{66F2EEDA-4DCC-4689-8934-498C5D05A726}">
      <tableStyleElement type="wholeTable" dxfId="131"/>
      <tableStyleElement type="headerRow" dxfId="130"/>
      <tableStyleElement type="totalRow" dxfId="129"/>
      <tableStyleElement type="firstColumn" dxfId="128"/>
      <tableStyleElement type="lastColumn" dxfId="127"/>
      <tableStyleElement type="firstRowStripe" dxfId="126"/>
      <tableStyleElement type="firstColumnStripe" dxfId="125"/>
    </tableStyle>
    <tableStyle name="style_transformed_learners_information" pivot="0" count="7" xr9:uid="{41F1E432-CEA5-4A28-A2E8-42073DE091A8}">
      <tableStyleElement type="wholeTable" dxfId="124"/>
      <tableStyleElement type="headerRow" dxfId="123"/>
      <tableStyleElement type="totalRow" dxfId="122"/>
      <tableStyleElement type="firstColumn" dxfId="121"/>
      <tableStyleElement type="lastColumn" dxfId="120"/>
      <tableStyleElement type="firstRowStripe" dxfId="119"/>
      <tableStyleElement type="firstColumnStripe" dxfId="118"/>
    </tableStyle>
    <tableStyle name="style1_gen_info" pivot="0" count="7" xr9:uid="{AC2AB039-AD58-420C-8567-E7A15B68B2E5}">
      <tableStyleElement type="wholeTable" dxfId="117"/>
      <tableStyleElement type="headerRow" dxfId="116"/>
      <tableStyleElement type="totalRow" dxfId="115"/>
      <tableStyleElement type="firstColumn" dxfId="114"/>
      <tableStyleElement type="lastColumn" dxfId="113"/>
      <tableStyleElement type="firstRowStripe" dxfId="112"/>
      <tableStyleElement type="firstColumnStripe" dxfId="111"/>
    </tableStyle>
    <tableStyle name="TableStyleLight6 2" pivot="0" count="7" xr9:uid="{1D368621-280A-4DBA-9194-96028ACA9AF2}">
      <tableStyleElement type="wholeTable" dxfId="110"/>
      <tableStyleElement type="headerRow" dxfId="109"/>
      <tableStyleElement type="totalRow" dxfId="108"/>
      <tableStyleElement type="firstColumn" dxfId="107"/>
      <tableStyleElement type="lastColumn" dxfId="106"/>
      <tableStyleElement type="firstRowStripe" dxfId="105"/>
      <tableStyleElement type="firstColumnStripe" dxfId="104"/>
    </tableStyle>
    <tableStyle name="TableStyleMedium19 2" pivot="0" count="6" xr9:uid="{D1A736A7-3672-4CC5-B47F-14A82148C865}">
      <tableStyleElement type="wholeTable" dxfId="103"/>
      <tableStyleElement type="headerRow" dxfId="102"/>
      <tableStyleElement type="totalRow" dxfId="101"/>
      <tableStyleElement type="firstColumn" dxfId="100"/>
      <tableStyleElement type="lastColumn" dxfId="99"/>
      <tableStyleElement type="firstColumnStripe" dxfId="98"/>
    </tableStyle>
  </tableStyles>
  <colors>
    <mruColors>
      <color rgb="FFA0A0A0"/>
      <color rgb="FFFF6565"/>
      <color rgb="FF2F75B5"/>
      <color rgb="FFBFBFBF"/>
      <color rgb="FFF0F0F0"/>
      <color rgb="FFF5EBE0"/>
      <color rgb="FF233D4D"/>
      <color rgb="FFD9E1F2"/>
      <color rgb="FF8A6700"/>
      <color rgb="FFDBA4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auto="1"/>
          </font>
          <fill>
            <patternFill patternType="solid">
              <fgColor theme="6" tint="0.59999389629810485"/>
              <bgColor rgb="FFF0F0F0"/>
            </patternFill>
          </fill>
          <border>
            <vertical/>
            <horizontal/>
          </border>
        </dxf>
        <dxf>
          <font>
            <b/>
            <i val="0"/>
            <color auto="1"/>
          </font>
          <fill>
            <patternFill patternType="solid">
              <fgColor theme="6"/>
              <bgColor rgb="FFF0F0F0"/>
            </patternFill>
          </fill>
          <border>
            <vertical/>
            <horizontal/>
          </border>
        </dxf>
        <dxf>
          <font>
            <b/>
            <i val="0"/>
            <sz val="10"/>
            <color rgb="FF959595"/>
          </font>
          <fill>
            <patternFill patternType="solid">
              <fgColor rgb="FFDFDFDF"/>
              <bgColor rgb="FFA0A0A0"/>
            </patternFill>
          </fill>
          <border diagonalUp="0" diagonalDown="0">
            <left/>
            <right/>
            <top/>
            <bottom/>
            <vertical/>
            <horizontal/>
          </border>
        </dxf>
        <dxf>
          <font>
            <b/>
            <i val="0"/>
            <sz val="10"/>
            <color rgb="FF000000"/>
          </font>
          <fill>
            <patternFill patternType="solid">
              <fgColor rgb="FFC0C0C0"/>
              <bgColor rgb="FFA0A0A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auto="1"/>
          </font>
          <fill>
            <patternFill patternType="solid">
              <fgColor theme="6" tint="0.59999389629810485"/>
              <bgColor rgb="FFF0F0F0"/>
            </patternFill>
          </fill>
          <border>
            <vertical/>
            <horizontal/>
          </border>
        </dxf>
        <dxf>
          <font>
            <b/>
            <i val="0"/>
            <color auto="1"/>
          </font>
          <fill>
            <patternFill patternType="solid">
              <fgColor theme="6"/>
              <bgColor rgb="FFF0F0F0"/>
            </patternFill>
          </fill>
          <border>
            <vertical/>
            <horizontal/>
          </border>
        </dxf>
        <dxf>
          <font>
            <b/>
            <i val="0"/>
            <sz val="10"/>
            <color rgb="FF959595"/>
          </font>
          <fill>
            <patternFill patternType="solid">
              <fgColor rgb="FFDFDFDF"/>
              <bgColor rgb="FFA0A0A0"/>
            </patternFill>
          </fill>
          <border diagonalUp="0" diagonalDown="0">
            <left/>
            <right/>
            <top/>
            <bottom/>
            <vertical/>
            <horizontal/>
          </border>
        </dxf>
        <dxf>
          <font>
            <b/>
            <i val="0"/>
            <sz val="10"/>
            <color rgb="FF000000"/>
          </font>
          <fill>
            <patternFill patternType="solid">
              <fgColor rgb="FFC0C0C0"/>
              <bgColor rgb="FFA0A0A0"/>
            </patternFill>
          </fill>
          <border diagonalUp="0" diagonalDown="0">
            <left/>
            <right/>
            <top/>
            <bottom/>
            <vertical/>
            <horizontal/>
          </border>
        </dxf>
      </x14:dxfs>
    </ext>
    <ext xmlns:x14="http://schemas.microsoft.com/office/spreadsheetml/2009/9/main" uri="{EB79DEF2-80B8-43e5-95BD-54CBDDF9020C}">
      <x14:slicerStyles defaultSlicerStyle="student_name_slicer 2">
        <x14:slicerStyle name="student_name_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tudent_name_slicer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18" Type="http://schemas.openxmlformats.org/officeDocument/2006/relationships/customXml" Target="../customXml/item1.xml"/><Relationship Id="rId26" Type="http://schemas.openxmlformats.org/officeDocument/2006/relationships/customXml" Target="../customXml/item9.xml"/><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microsoft.com/office/2006/relationships/vbaProject" Target="vbaProject.bin"/><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owerPivotData" Target="model/item.data"/><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theme" Target="theme/theme1.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1.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hyperlink" Target="#LEARNERS_INFORMATION!A1"/><Relationship Id="rId1" Type="http://schemas.openxmlformats.org/officeDocument/2006/relationships/hyperlink" Target="#GENERAL_INFORMATION!A1"/></Relationships>
</file>

<file path=xl/drawings/_rels/drawing2.xml.rels><?xml version="1.0" encoding="UTF-8" standalone="yes"?>
<Relationships xmlns="http://schemas.openxmlformats.org/package/2006/relationships"><Relationship Id="rId3" Type="http://schemas.openxmlformats.org/officeDocument/2006/relationships/hyperlink" Target="#SCHOOL_FORM_10_g11_only!A1"/><Relationship Id="rId2" Type="http://schemas.openxmlformats.org/officeDocument/2006/relationships/hyperlink" Target="#SCHOOL_FORM_9!A1"/><Relationship Id="rId1" Type="http://schemas.openxmlformats.org/officeDocument/2006/relationships/hyperlink" Target="#GENERAL_INFORMATION!A1"/><Relationship Id="rId4" Type="http://schemas.openxmlformats.org/officeDocument/2006/relationships/hyperlink" Target="#'SCHOOL_FORM_10_g12_only '!A1"/></Relationships>
</file>

<file path=xl/drawings/_rels/drawing4.xml.rels><?xml version="1.0" encoding="UTF-8" standalone="yes"?>
<Relationships xmlns="http://schemas.openxmlformats.org/package/2006/relationships"><Relationship Id="rId8" Type="http://schemas.openxmlformats.org/officeDocument/2006/relationships/hyperlink" Target="#SCHOOL_FORM_9_page2!A1"/><Relationship Id="rId13" Type="http://schemas.openxmlformats.org/officeDocument/2006/relationships/hyperlink" Target="#SCHOOL_FORM_9!A1"/><Relationship Id="rId3" Type="http://schemas.openxmlformats.org/officeDocument/2006/relationships/image" Target="../media/image3.png"/><Relationship Id="rId7" Type="http://schemas.openxmlformats.org/officeDocument/2006/relationships/image" Target="../media/image6.svg"/><Relationship Id="rId12" Type="http://schemas.openxmlformats.org/officeDocument/2006/relationships/image" Target="../media/image10.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5" Type="http://schemas.openxmlformats.org/officeDocument/2006/relationships/hyperlink" Target="#LEARNERS_INFORMATION!A1"/><Relationship Id="rId15" Type="http://schemas.openxmlformats.org/officeDocument/2006/relationships/image" Target="../media/image12.sv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1.png"/></Relationships>
</file>

<file path=xl/drawings/_rels/drawing5.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2.svg"/><Relationship Id="rId3" Type="http://schemas.openxmlformats.org/officeDocument/2006/relationships/hyperlink" Target="#SCHOOL_FORM_9!A1"/><Relationship Id="rId7" Type="http://schemas.openxmlformats.org/officeDocument/2006/relationships/image" Target="../media/image7.png"/><Relationship Id="rId12" Type="http://schemas.openxmlformats.org/officeDocument/2006/relationships/image" Target="../media/image11.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hyperlink" Target="#SCHOOL_FORM_10_g11_only!A1"/><Relationship Id="rId11" Type="http://schemas.openxmlformats.org/officeDocument/2006/relationships/hyperlink" Target="#SCHOOL_FORM_9_page2!A1"/><Relationship Id="rId5" Type="http://schemas.openxmlformats.org/officeDocument/2006/relationships/image" Target="../media/image6.svg"/><Relationship Id="rId10" Type="http://schemas.openxmlformats.org/officeDocument/2006/relationships/image" Target="../media/image10.svg"/><Relationship Id="rId4" Type="http://schemas.openxmlformats.org/officeDocument/2006/relationships/image" Target="../media/image5.png"/><Relationship Id="rId9" Type="http://schemas.openxmlformats.org/officeDocument/2006/relationships/image" Target="../media/image9.png"/></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CHOOL_FORM_10_g12_only '!A1"/><Relationship Id="rId18" Type="http://schemas.openxmlformats.org/officeDocument/2006/relationships/hyperlink" Target="#SCHOOL_FORM_10_g11_only!A1"/><Relationship Id="rId3" Type="http://schemas.openxmlformats.org/officeDocument/2006/relationships/image" Target="../media/image15.png"/><Relationship Id="rId7" Type="http://schemas.openxmlformats.org/officeDocument/2006/relationships/image" Target="../media/image19.emf"/><Relationship Id="rId12" Type="http://schemas.openxmlformats.org/officeDocument/2006/relationships/image" Target="../media/image6.svg"/><Relationship Id="rId17" Type="http://schemas.openxmlformats.org/officeDocument/2006/relationships/image" Target="../media/image10.svg"/><Relationship Id="rId2" Type="http://schemas.openxmlformats.org/officeDocument/2006/relationships/image" Target="../media/image14.png"/><Relationship Id="rId16" Type="http://schemas.openxmlformats.org/officeDocument/2006/relationships/image" Target="../media/image9.png"/><Relationship Id="rId20" Type="http://schemas.openxmlformats.org/officeDocument/2006/relationships/image" Target="../media/image12.svg"/><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5.png"/><Relationship Id="rId5" Type="http://schemas.openxmlformats.org/officeDocument/2006/relationships/image" Target="../media/image17.emf"/><Relationship Id="rId15" Type="http://schemas.openxmlformats.org/officeDocument/2006/relationships/image" Target="../media/image8.svg"/><Relationship Id="rId10" Type="http://schemas.openxmlformats.org/officeDocument/2006/relationships/hyperlink" Target="#LEARNERS_INFORMATION!A1"/><Relationship Id="rId19" Type="http://schemas.openxmlformats.org/officeDocument/2006/relationships/image" Target="../media/image11.png"/><Relationship Id="rId4" Type="http://schemas.openxmlformats.org/officeDocument/2006/relationships/image" Target="../media/image16.emf"/><Relationship Id="rId9" Type="http://schemas.openxmlformats.org/officeDocument/2006/relationships/image" Target="../media/image4.svg"/><Relationship Id="rId14" Type="http://schemas.openxmlformats.org/officeDocument/2006/relationships/image" Target="../media/image7.png"/></Relationships>
</file>

<file path=xl/drawings/_rels/drawing7.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3" Type="http://schemas.openxmlformats.org/officeDocument/2006/relationships/image" Target="../media/image19.emf"/><Relationship Id="rId7" Type="http://schemas.openxmlformats.org/officeDocument/2006/relationships/hyperlink" Target="#LEARNERS_INFORMATION!A1"/><Relationship Id="rId12" Type="http://schemas.openxmlformats.org/officeDocument/2006/relationships/image" Target="../media/image8.svg"/><Relationship Id="rId2" Type="http://schemas.openxmlformats.org/officeDocument/2006/relationships/image" Target="../media/image18.emf"/><Relationship Id="rId16" Type="http://schemas.openxmlformats.org/officeDocument/2006/relationships/image" Target="../media/image12.svg"/><Relationship Id="rId1" Type="http://schemas.openxmlformats.org/officeDocument/2006/relationships/image" Target="../media/image17.emf"/><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1.png"/><Relationship Id="rId10" Type="http://schemas.openxmlformats.org/officeDocument/2006/relationships/hyperlink" Target="#'SCHOOL_FORM_10_g12_only '!A1"/><Relationship Id="rId4" Type="http://schemas.openxmlformats.org/officeDocument/2006/relationships/image" Target="../media/image20.emf"/><Relationship Id="rId9" Type="http://schemas.openxmlformats.org/officeDocument/2006/relationships/image" Target="../media/image6.svg"/><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1</xdr:col>
      <xdr:colOff>10885</xdr:colOff>
      <xdr:row>1</xdr:row>
      <xdr:rowOff>0</xdr:rowOff>
    </xdr:from>
    <xdr:to>
      <xdr:col>1</xdr:col>
      <xdr:colOff>10885</xdr:colOff>
      <xdr:row>20</xdr:row>
      <xdr:rowOff>97971</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2645228" y="195943"/>
          <a:ext cx="0" cy="5780314"/>
        </a:xfrm>
        <a:prstGeom prst="line">
          <a:avLst/>
        </a:prstGeom>
        <a:ln w="6350">
          <a:solidFill>
            <a:srgbClr val="FF656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141515</xdr:colOff>
      <xdr:row>1</xdr:row>
      <xdr:rowOff>141510</xdr:rowOff>
    </xdr:from>
    <xdr:to>
      <xdr:col>0</xdr:col>
      <xdr:colOff>2405744</xdr:colOff>
      <xdr:row>2</xdr:row>
      <xdr:rowOff>95296</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1515" y="337453"/>
          <a:ext cx="2264229" cy="345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rgbClr val="FF6565"/>
              </a:solidFill>
              <a:latin typeface="Aharoni" panose="02010803020104030203" pitchFamily="2" charset="-79"/>
              <a:cs typeface="Aharoni" panose="02010803020104030203" pitchFamily="2" charset="-79"/>
            </a:rPr>
            <a:t>Page</a:t>
          </a:r>
          <a:r>
            <a:rPr lang="en-US" sz="2000" baseline="0">
              <a:solidFill>
                <a:srgbClr val="FF6565"/>
              </a:solidFill>
              <a:latin typeface="Aharoni" panose="02010803020104030203" pitchFamily="2" charset="-79"/>
              <a:cs typeface="Aharoni" panose="02010803020104030203" pitchFamily="2" charset="-79"/>
            </a:rPr>
            <a:t> Navigation</a:t>
          </a:r>
          <a:endParaRPr lang="en-US" sz="2000">
            <a:solidFill>
              <a:srgbClr val="FF6565"/>
            </a:solidFill>
            <a:latin typeface="Aharoni" panose="02010803020104030203" pitchFamily="2" charset="-79"/>
            <a:cs typeface="Aharoni" panose="02010803020104030203" pitchFamily="2" charset="-79"/>
          </a:endParaRPr>
        </a:p>
      </xdr:txBody>
    </xdr:sp>
    <xdr:clientData/>
  </xdr:twoCellAnchor>
  <xdr:twoCellAnchor>
    <xdr:from>
      <xdr:col>0</xdr:col>
      <xdr:colOff>324537</xdr:colOff>
      <xdr:row>2</xdr:row>
      <xdr:rowOff>359229</xdr:rowOff>
    </xdr:from>
    <xdr:to>
      <xdr:col>0</xdr:col>
      <xdr:colOff>2427657</xdr:colOff>
      <xdr:row>3</xdr:row>
      <xdr:rowOff>82897</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324537" y="947058"/>
          <a:ext cx="2103120" cy="311496"/>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a:latin typeface="+mn-lt"/>
            </a:rPr>
            <a:t>General Information</a:t>
          </a:r>
        </a:p>
      </xdr:txBody>
    </xdr:sp>
    <xdr:clientData/>
  </xdr:twoCellAnchor>
  <xdr:twoCellAnchor>
    <xdr:from>
      <xdr:col>0</xdr:col>
      <xdr:colOff>324540</xdr:colOff>
      <xdr:row>4</xdr:row>
      <xdr:rowOff>138794</xdr:rowOff>
    </xdr:from>
    <xdr:to>
      <xdr:col>0</xdr:col>
      <xdr:colOff>2427660</xdr:colOff>
      <xdr:row>5</xdr:row>
      <xdr:rowOff>178147</xdr:rowOff>
    </xdr:to>
    <xdr:sp macro="" textlink="">
      <xdr:nvSpPr>
        <xdr:cNvPr id="7" name="TextBox 6">
          <a:hlinkClick xmlns:r="http://schemas.openxmlformats.org/officeDocument/2006/relationships" r:id="rId2"/>
          <a:extLst>
            <a:ext uri="{FF2B5EF4-FFF2-40B4-BE49-F238E27FC236}">
              <a16:creationId xmlns:a16="http://schemas.microsoft.com/office/drawing/2014/main" id="{00000000-0008-0000-0000-000007000000}"/>
            </a:ext>
          </a:extLst>
        </xdr:cNvPr>
        <xdr:cNvSpPr txBox="1"/>
      </xdr:nvSpPr>
      <xdr:spPr>
        <a:xfrm>
          <a:off x="324540" y="1662794"/>
          <a:ext cx="2103120" cy="311496"/>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Learner's</a:t>
          </a:r>
          <a:r>
            <a:rPr lang="en-US" sz="1400" baseline="0">
              <a:latin typeface="+mn-lt"/>
            </a:rPr>
            <a:t> Information</a:t>
          </a:r>
          <a:endParaRPr lang="en-US" sz="1400">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141515</xdr:colOff>
      <xdr:row>1</xdr:row>
      <xdr:rowOff>141510</xdr:rowOff>
    </xdr:from>
    <xdr:to>
      <xdr:col>0</xdr:col>
      <xdr:colOff>2405744</xdr:colOff>
      <xdr:row>2</xdr:row>
      <xdr:rowOff>96290</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41515" y="337453"/>
          <a:ext cx="2264229" cy="346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rgbClr val="FF6565"/>
              </a:solidFill>
              <a:latin typeface="Aharoni" panose="02010803020104030203" pitchFamily="2" charset="-79"/>
              <a:cs typeface="Aharoni" panose="02010803020104030203" pitchFamily="2" charset="-79"/>
            </a:rPr>
            <a:t>Page</a:t>
          </a:r>
          <a:r>
            <a:rPr lang="en-US" sz="2000" baseline="0">
              <a:solidFill>
                <a:srgbClr val="FF6565"/>
              </a:solidFill>
              <a:latin typeface="Aharoni" panose="02010803020104030203" pitchFamily="2" charset="-79"/>
              <a:cs typeface="Aharoni" panose="02010803020104030203" pitchFamily="2" charset="-79"/>
            </a:rPr>
            <a:t> Navigation</a:t>
          </a:r>
          <a:endParaRPr lang="en-US" sz="2000">
            <a:solidFill>
              <a:srgbClr val="FF6565"/>
            </a:solidFill>
            <a:latin typeface="Aharoni" panose="02010803020104030203" pitchFamily="2" charset="-79"/>
            <a:cs typeface="Aharoni" panose="02010803020104030203" pitchFamily="2" charset="-79"/>
          </a:endParaRPr>
        </a:p>
      </xdr:txBody>
    </xdr:sp>
    <xdr:clientData/>
  </xdr:twoCellAnchor>
  <xdr:twoCellAnchor>
    <xdr:from>
      <xdr:col>0</xdr:col>
      <xdr:colOff>324536</xdr:colOff>
      <xdr:row>2</xdr:row>
      <xdr:rowOff>360983</xdr:rowOff>
    </xdr:from>
    <xdr:to>
      <xdr:col>0</xdr:col>
      <xdr:colOff>2427656</xdr:colOff>
      <xdr:row>2</xdr:row>
      <xdr:rowOff>672479</xdr:rowOff>
    </xdr:to>
    <xdr:sp macro="" textlink="">
      <xdr:nvSpPr>
        <xdr:cNvPr id="10" name="TextBox 9">
          <a:hlinkClick xmlns:r="http://schemas.openxmlformats.org/officeDocument/2006/relationships" r:id="rId1"/>
          <a:extLst>
            <a:ext uri="{FF2B5EF4-FFF2-40B4-BE49-F238E27FC236}">
              <a16:creationId xmlns:a16="http://schemas.microsoft.com/office/drawing/2014/main" id="{00000000-0008-0000-0100-00000A000000}"/>
            </a:ext>
          </a:extLst>
        </xdr:cNvPr>
        <xdr:cNvSpPr txBox="1"/>
      </xdr:nvSpPr>
      <xdr:spPr>
        <a:xfrm>
          <a:off x="324536" y="948812"/>
          <a:ext cx="2103120" cy="311496"/>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a:latin typeface="+mn-lt"/>
            </a:rPr>
            <a:t>General Information</a:t>
          </a:r>
        </a:p>
      </xdr:txBody>
    </xdr:sp>
    <xdr:clientData/>
  </xdr:twoCellAnchor>
  <xdr:twoCellAnchor>
    <xdr:from>
      <xdr:col>0</xdr:col>
      <xdr:colOff>324540</xdr:colOff>
      <xdr:row>3</xdr:row>
      <xdr:rowOff>382092</xdr:rowOff>
    </xdr:from>
    <xdr:to>
      <xdr:col>0</xdr:col>
      <xdr:colOff>2427660</xdr:colOff>
      <xdr:row>4</xdr:row>
      <xdr:rowOff>248169</xdr:rowOff>
    </xdr:to>
    <xdr:sp macro="[0]!Show_Learners_Information" textlink="">
      <xdr:nvSpPr>
        <xdr:cNvPr id="11" name="TextBox 10">
          <a:extLst>
            <a:ext uri="{FF2B5EF4-FFF2-40B4-BE49-F238E27FC236}">
              <a16:creationId xmlns:a16="http://schemas.microsoft.com/office/drawing/2014/main" id="{00000000-0008-0000-0100-00000B000000}"/>
            </a:ext>
          </a:extLst>
        </xdr:cNvPr>
        <xdr:cNvSpPr txBox="1"/>
      </xdr:nvSpPr>
      <xdr:spPr>
        <a:xfrm>
          <a:off x="324540" y="1666606"/>
          <a:ext cx="2103120" cy="312392"/>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Learner's</a:t>
          </a:r>
          <a:r>
            <a:rPr lang="en-US" sz="1400" baseline="0">
              <a:latin typeface="+mn-lt"/>
            </a:rPr>
            <a:t> Information</a:t>
          </a:r>
          <a:endParaRPr lang="en-US" sz="1400">
            <a:latin typeface="+mn-lt"/>
          </a:endParaRPr>
        </a:p>
      </xdr:txBody>
    </xdr:sp>
    <xdr:clientData/>
  </xdr:twoCellAnchor>
  <xdr:twoCellAnchor>
    <xdr:from>
      <xdr:col>0</xdr:col>
      <xdr:colOff>324540</xdr:colOff>
      <xdr:row>6</xdr:row>
      <xdr:rowOff>152830</xdr:rowOff>
    </xdr:from>
    <xdr:to>
      <xdr:col>0</xdr:col>
      <xdr:colOff>2423641</xdr:colOff>
      <xdr:row>7</xdr:row>
      <xdr:rowOff>214850</xdr:rowOff>
    </xdr:to>
    <xdr:sp macro="[0]!Show_Sem1_Mastersheet" textlink="">
      <xdr:nvSpPr>
        <xdr:cNvPr id="12" name="TextBox 11">
          <a:extLst>
            <a:ext uri="{FF2B5EF4-FFF2-40B4-BE49-F238E27FC236}">
              <a16:creationId xmlns:a16="http://schemas.microsoft.com/office/drawing/2014/main" id="{00000000-0008-0000-0100-00000C000000}"/>
            </a:ext>
          </a:extLst>
        </xdr:cNvPr>
        <xdr:cNvSpPr txBox="1"/>
      </xdr:nvSpPr>
      <xdr:spPr>
        <a:xfrm>
          <a:off x="324540" y="2384401"/>
          <a:ext cx="2099101" cy="312392"/>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aseline="0">
              <a:latin typeface="+mn-lt"/>
            </a:rPr>
            <a:t>1st Semester Mastersheet</a:t>
          </a:r>
          <a:endParaRPr lang="en-US" sz="1400">
            <a:latin typeface="+mn-lt"/>
          </a:endParaRPr>
        </a:p>
      </xdr:txBody>
    </xdr:sp>
    <xdr:clientData/>
  </xdr:twoCellAnchor>
  <xdr:twoCellAnchor>
    <xdr:from>
      <xdr:col>0</xdr:col>
      <xdr:colOff>324540</xdr:colOff>
      <xdr:row>9</xdr:row>
      <xdr:rowOff>119510</xdr:rowOff>
    </xdr:from>
    <xdr:to>
      <xdr:col>0</xdr:col>
      <xdr:colOff>2427660</xdr:colOff>
      <xdr:row>10</xdr:row>
      <xdr:rowOff>181531</xdr:rowOff>
    </xdr:to>
    <xdr:sp macro="[0]!Show_Sem2_Mastersheet" textlink="">
      <xdr:nvSpPr>
        <xdr:cNvPr id="13" name="TextBox 12">
          <a:extLst>
            <a:ext uri="{FF2B5EF4-FFF2-40B4-BE49-F238E27FC236}">
              <a16:creationId xmlns:a16="http://schemas.microsoft.com/office/drawing/2014/main" id="{00000000-0008-0000-0100-00000D000000}"/>
            </a:ext>
          </a:extLst>
        </xdr:cNvPr>
        <xdr:cNvSpPr txBox="1"/>
      </xdr:nvSpPr>
      <xdr:spPr>
        <a:xfrm>
          <a:off x="324540" y="3102196"/>
          <a:ext cx="2103120" cy="312392"/>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2nd Semester Mastersheet</a:t>
          </a:r>
        </a:p>
      </xdr:txBody>
    </xdr:sp>
    <xdr:clientData/>
  </xdr:twoCellAnchor>
  <xdr:twoCellAnchor>
    <xdr:from>
      <xdr:col>0</xdr:col>
      <xdr:colOff>324540</xdr:colOff>
      <xdr:row>12</xdr:row>
      <xdr:rowOff>86190</xdr:rowOff>
    </xdr:from>
    <xdr:to>
      <xdr:col>0</xdr:col>
      <xdr:colOff>2427660</xdr:colOff>
      <xdr:row>13</xdr:row>
      <xdr:rowOff>148211</xdr:rowOff>
    </xdr:to>
    <xdr:sp macro="[0]!Show_Students_Absences" textlink="">
      <xdr:nvSpPr>
        <xdr:cNvPr id="14" name="TextBox 13">
          <a:extLst>
            <a:ext uri="{FF2B5EF4-FFF2-40B4-BE49-F238E27FC236}">
              <a16:creationId xmlns:a16="http://schemas.microsoft.com/office/drawing/2014/main" id="{00000000-0008-0000-0100-00000E000000}"/>
            </a:ext>
          </a:extLst>
        </xdr:cNvPr>
        <xdr:cNvSpPr txBox="1"/>
      </xdr:nvSpPr>
      <xdr:spPr>
        <a:xfrm>
          <a:off x="324540" y="3824753"/>
          <a:ext cx="2103120" cy="314433"/>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Student's</a:t>
          </a:r>
          <a:r>
            <a:rPr lang="en-US" sz="1400" baseline="0">
              <a:latin typeface="+mn-lt"/>
            </a:rPr>
            <a:t> Absences</a:t>
          </a:r>
          <a:endParaRPr lang="en-US" sz="1400">
            <a:latin typeface="+mn-lt"/>
          </a:endParaRPr>
        </a:p>
      </xdr:txBody>
    </xdr:sp>
    <xdr:clientData/>
  </xdr:twoCellAnchor>
  <xdr:twoCellAnchor>
    <xdr:from>
      <xdr:col>1</xdr:col>
      <xdr:colOff>10886</xdr:colOff>
      <xdr:row>0</xdr:row>
      <xdr:rowOff>188258</xdr:rowOff>
    </xdr:from>
    <xdr:to>
      <xdr:col>1</xdr:col>
      <xdr:colOff>10886</xdr:colOff>
      <xdr:row>23</xdr:row>
      <xdr:rowOff>116540</xdr:rowOff>
    </xdr:to>
    <xdr:cxnSp macro="">
      <xdr:nvCxnSpPr>
        <xdr:cNvPr id="15" name="Straight Connector 14">
          <a:extLst>
            <a:ext uri="{FF2B5EF4-FFF2-40B4-BE49-F238E27FC236}">
              <a16:creationId xmlns:a16="http://schemas.microsoft.com/office/drawing/2014/main" id="{00000000-0008-0000-0100-00000F000000}"/>
            </a:ext>
          </a:extLst>
        </xdr:cNvPr>
        <xdr:cNvCxnSpPr/>
      </xdr:nvCxnSpPr>
      <xdr:spPr>
        <a:xfrm>
          <a:off x="2727192" y="188258"/>
          <a:ext cx="0" cy="6400800"/>
        </a:xfrm>
        <a:prstGeom prst="line">
          <a:avLst/>
        </a:prstGeom>
        <a:ln w="6350">
          <a:solidFill>
            <a:srgbClr val="FF656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324540</xdr:colOff>
      <xdr:row>15</xdr:row>
      <xdr:rowOff>66936</xdr:rowOff>
    </xdr:from>
    <xdr:to>
      <xdr:col>0</xdr:col>
      <xdr:colOff>2427660</xdr:colOff>
      <xdr:row>16</xdr:row>
      <xdr:rowOff>128956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100-000002000000}"/>
            </a:ext>
          </a:extLst>
        </xdr:cNvPr>
        <xdr:cNvSpPr txBox="1"/>
      </xdr:nvSpPr>
      <xdr:spPr>
        <a:xfrm>
          <a:off x="324540" y="4562736"/>
          <a:ext cx="2103120" cy="314433"/>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Report Card</a:t>
          </a:r>
        </a:p>
      </xdr:txBody>
    </xdr:sp>
    <xdr:clientData/>
  </xdr:twoCellAnchor>
  <xdr:twoCellAnchor>
    <xdr:from>
      <xdr:col>0</xdr:col>
      <xdr:colOff>324540</xdr:colOff>
      <xdr:row>18</xdr:row>
      <xdr:rowOff>44317</xdr:rowOff>
    </xdr:from>
    <xdr:to>
      <xdr:col>0</xdr:col>
      <xdr:colOff>2427660</xdr:colOff>
      <xdr:row>19</xdr:row>
      <xdr:rowOff>106338</xdr:rowOff>
    </xdr:to>
    <xdr:sp macro="" textlink="">
      <xdr:nvSpPr>
        <xdr:cNvPr id="3" name="TextBox 2">
          <a:hlinkClick xmlns:r="http://schemas.openxmlformats.org/officeDocument/2006/relationships" r:id="rId3"/>
          <a:extLst>
            <a:ext uri="{FF2B5EF4-FFF2-40B4-BE49-F238E27FC236}">
              <a16:creationId xmlns:a16="http://schemas.microsoft.com/office/drawing/2014/main" id="{00000000-0008-0000-0100-000003000000}"/>
            </a:ext>
          </a:extLst>
        </xdr:cNvPr>
        <xdr:cNvSpPr txBox="1"/>
      </xdr:nvSpPr>
      <xdr:spPr>
        <a:xfrm>
          <a:off x="324540" y="5297355"/>
          <a:ext cx="2103120" cy="314433"/>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Permanent Record -</a:t>
          </a:r>
          <a:r>
            <a:rPr lang="en-US" sz="1400" baseline="0">
              <a:latin typeface="+mn-lt"/>
            </a:rPr>
            <a:t> G11</a:t>
          </a:r>
          <a:endParaRPr lang="en-US" sz="1400">
            <a:latin typeface="+mn-lt"/>
          </a:endParaRPr>
        </a:p>
      </xdr:txBody>
    </xdr:sp>
    <xdr:clientData/>
  </xdr:twoCellAnchor>
  <xdr:twoCellAnchor>
    <xdr:from>
      <xdr:col>0</xdr:col>
      <xdr:colOff>324540</xdr:colOff>
      <xdr:row>21</xdr:row>
      <xdr:rowOff>26639</xdr:rowOff>
    </xdr:from>
    <xdr:to>
      <xdr:col>0</xdr:col>
      <xdr:colOff>2427660</xdr:colOff>
      <xdr:row>22</xdr:row>
      <xdr:rowOff>88659</xdr:rowOff>
    </xdr:to>
    <xdr:sp macro="" textlink="">
      <xdr:nvSpPr>
        <xdr:cNvPr id="5" name="TextBox 4">
          <a:hlinkClick xmlns:r="http://schemas.openxmlformats.org/officeDocument/2006/relationships" r:id="rId4"/>
          <a:extLst>
            <a:ext uri="{FF2B5EF4-FFF2-40B4-BE49-F238E27FC236}">
              <a16:creationId xmlns:a16="http://schemas.microsoft.com/office/drawing/2014/main" id="{00000000-0008-0000-0100-000005000000}"/>
            </a:ext>
          </a:extLst>
        </xdr:cNvPr>
        <xdr:cNvSpPr txBox="1"/>
      </xdr:nvSpPr>
      <xdr:spPr>
        <a:xfrm>
          <a:off x="324540" y="6036914"/>
          <a:ext cx="2103120" cy="314433"/>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Permanent</a:t>
          </a:r>
          <a:r>
            <a:rPr lang="en-US" sz="1400" baseline="0">
              <a:latin typeface="+mn-lt"/>
            </a:rPr>
            <a:t> Record - G12</a:t>
          </a:r>
          <a:endParaRPr lang="en-US" sz="1400">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26</xdr:col>
      <xdr:colOff>439271</xdr:colOff>
      <xdr:row>2</xdr:row>
      <xdr:rowOff>8965</xdr:rowOff>
    </xdr:from>
    <xdr:to>
      <xdr:col>30</xdr:col>
      <xdr:colOff>546851</xdr:colOff>
      <xdr:row>25</xdr:row>
      <xdr:rowOff>189596</xdr:rowOff>
    </xdr:to>
    <mc:AlternateContent xmlns:mc="http://schemas.openxmlformats.org/markup-compatibility/2006" xmlns:a14="http://schemas.microsoft.com/office/drawing/2010/main">
      <mc:Choice Requires="a14">
        <xdr:graphicFrame macro="">
          <xdr:nvGraphicFramePr>
            <xdr:cNvPr id="2" name="Student Nam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Student Name 1"/>
            </a:graphicData>
          </a:graphic>
        </xdr:graphicFrame>
      </mc:Choice>
      <mc:Fallback xmlns="">
        <xdr:sp macro="" textlink="">
          <xdr:nvSpPr>
            <xdr:cNvPr id="0" name=""/>
            <xdr:cNvSpPr>
              <a:spLocks noTextEdit="1"/>
            </xdr:cNvSpPr>
          </xdr:nvSpPr>
          <xdr:spPr>
            <a:xfrm>
              <a:off x="36108491" y="374725"/>
              <a:ext cx="2545980" cy="44653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182172</xdr:colOff>
      <xdr:row>3</xdr:row>
      <xdr:rowOff>553</xdr:rowOff>
    </xdr:from>
    <xdr:to>
      <xdr:col>21</xdr:col>
      <xdr:colOff>97898</xdr:colOff>
      <xdr:row>4</xdr:row>
      <xdr:rowOff>68378</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396493" y="541573"/>
          <a:ext cx="1134926" cy="2507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r>
            <a:rPr lang="en-US" sz="1050">
              <a:latin typeface="Times New Roman" panose="02020603050405020304" pitchFamily="18" charset="0"/>
              <a:cs typeface="Times New Roman" panose="02020603050405020304" pitchFamily="18" charset="0"/>
            </a:rPr>
            <a:t>DepEd SHS SF-9</a:t>
          </a:r>
        </a:p>
      </xdr:txBody>
    </xdr:sp>
    <xdr:clientData/>
  </xdr:twoCellAnchor>
  <xdr:twoCellAnchor editAs="absolute">
    <xdr:from>
      <xdr:col>20</xdr:col>
      <xdr:colOff>524335</xdr:colOff>
      <xdr:row>3</xdr:row>
      <xdr:rowOff>144780</xdr:rowOff>
    </xdr:from>
    <xdr:to>
      <xdr:col>25</xdr:col>
      <xdr:colOff>310381</xdr:colOff>
      <xdr:row>9</xdr:row>
      <xdr:rowOff>267596</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6348256" y="685800"/>
          <a:ext cx="2834046" cy="1494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100">
              <a:latin typeface="Old English Text MT" panose="03040902040508030806" pitchFamily="66" charset="0"/>
            </a:rPr>
            <a:t>Republic</a:t>
          </a:r>
          <a:r>
            <a:rPr lang="en-US" sz="1100" baseline="0">
              <a:latin typeface="Old English Text MT" panose="03040902040508030806" pitchFamily="66" charset="0"/>
            </a:rPr>
            <a:t> of the Philippines</a:t>
          </a:r>
        </a:p>
        <a:p>
          <a:pPr marL="0" indent="0" algn="ctr"/>
          <a:r>
            <a:rPr lang="en-US" sz="1600">
              <a:solidFill>
                <a:schemeClr val="tx1"/>
              </a:solidFill>
              <a:latin typeface="Old English Text MT" panose="03040902040508030806" pitchFamily="66" charset="0"/>
              <a:ea typeface="+mn-ea"/>
              <a:cs typeface="+mn-cs"/>
            </a:rPr>
            <a:t>Department of Education</a:t>
          </a:r>
        </a:p>
        <a:p>
          <a:pPr algn="ctr"/>
          <a:r>
            <a:rPr lang="en-US" sz="1100" baseline="0">
              <a:latin typeface="Times New Roman" panose="02020603050405020304" pitchFamily="18" charset="0"/>
              <a:cs typeface="Times New Roman" panose="02020603050405020304" pitchFamily="18" charset="0"/>
            </a:rPr>
            <a:t>Region X</a:t>
          </a:r>
        </a:p>
        <a:p>
          <a:pPr algn="ctr"/>
          <a:r>
            <a:rPr lang="en-US" sz="1100" baseline="0">
              <a:latin typeface="Times New Roman" panose="02020603050405020304" pitchFamily="18" charset="0"/>
              <a:cs typeface="Times New Roman" panose="02020603050405020304" pitchFamily="18" charset="0"/>
            </a:rPr>
            <a:t>Division of Cagayan de Oro City</a:t>
          </a:r>
        </a:p>
        <a:p>
          <a:pPr algn="ctr"/>
          <a:r>
            <a:rPr lang="en-US" sz="1100" baseline="0">
              <a:latin typeface="Times New Roman" panose="02020603050405020304" pitchFamily="18" charset="0"/>
              <a:cs typeface="Times New Roman" panose="02020603050405020304" pitchFamily="18" charset="0"/>
            </a:rPr>
            <a:t>East I District</a:t>
          </a:r>
        </a:p>
        <a:p>
          <a:pPr algn="ctr"/>
          <a:r>
            <a:rPr lang="en-US" sz="1100" b="1" baseline="0">
              <a:latin typeface="Times New Roman" panose="02020603050405020304" pitchFamily="18" charset="0"/>
              <a:cs typeface="Times New Roman" panose="02020603050405020304" pitchFamily="18" charset="0"/>
            </a:rPr>
            <a:t>EAST GUSA NATIONAL HIGH SCHOOL</a:t>
          </a:r>
        </a:p>
        <a:p>
          <a:pPr algn="ctr"/>
          <a:r>
            <a:rPr lang="en-US" sz="1100" b="1" baseline="0">
              <a:latin typeface="Times New Roman" panose="02020603050405020304" pitchFamily="18" charset="0"/>
              <a:cs typeface="Times New Roman" panose="02020603050405020304" pitchFamily="18" charset="0"/>
            </a:rPr>
            <a:t>Senior High School</a:t>
          </a:r>
        </a:p>
        <a:p>
          <a:pPr algn="ctr"/>
          <a:r>
            <a:rPr lang="en-US" sz="1100" b="1" baseline="0">
              <a:latin typeface="Times New Roman" panose="02020603050405020304" pitchFamily="18" charset="0"/>
              <a:cs typeface="Times New Roman" panose="02020603050405020304" pitchFamily="18" charset="0"/>
            </a:rPr>
            <a:t>School ID: 315407</a:t>
          </a:r>
          <a:endParaRPr lang="en-US" sz="1100" b="1">
            <a:latin typeface="Times New Roman" panose="02020603050405020304" pitchFamily="18" charset="0"/>
            <a:cs typeface="Times New Roman" panose="02020603050405020304" pitchFamily="18" charset="0"/>
          </a:endParaRPr>
        </a:p>
      </xdr:txBody>
    </xdr:sp>
    <xdr:clientData/>
  </xdr:twoCellAnchor>
  <xdr:twoCellAnchor editAs="absolute">
    <xdr:from>
      <xdr:col>19</xdr:col>
      <xdr:colOff>531852</xdr:colOff>
      <xdr:row>5</xdr:row>
      <xdr:rowOff>166815</xdr:rowOff>
    </xdr:from>
    <xdr:to>
      <xdr:col>26</xdr:col>
      <xdr:colOff>302865</xdr:colOff>
      <xdr:row>8</xdr:row>
      <xdr:rowOff>298901</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8384934" y="1161897"/>
          <a:ext cx="4038213" cy="661004"/>
          <a:chOff x="6202680" y="1082426"/>
          <a:chExt cx="4038213" cy="670174"/>
        </a:xfrm>
      </xdr:grpSpPr>
      <xdr:pic>
        <xdr:nvPicPr>
          <xdr:cNvPr id="5" name="Picture 5">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02680" y="1082426"/>
            <a:ext cx="655320" cy="652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miter lim="800000"/>
                <a:headEnd/>
                <a:tailEnd/>
              </a14:hiddenLine>
            </a:ext>
          </a:extLst>
        </xdr:spPr>
      </xdr:pic>
      <xdr:pic>
        <xdr:nvPicPr>
          <xdr:cNvPr id="6" name="Picture 6">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b="-148"/>
          <a:stretch>
            <a:fillRect/>
          </a:stretch>
        </xdr:blipFill>
        <xdr:spPr bwMode="auto">
          <a:xfrm>
            <a:off x="9616440" y="1128147"/>
            <a:ext cx="624453" cy="6244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miter lim="800000"/>
                <a:headEnd/>
                <a:tailEnd/>
              </a14:hiddenLine>
            </a:ext>
          </a:extLst>
        </xdr:spPr>
      </xdr:pic>
    </xdr:grpSp>
    <xdr:clientData/>
  </xdr:twoCellAnchor>
  <xdr:twoCellAnchor editAs="absolute">
    <xdr:from>
      <xdr:col>19</xdr:col>
      <xdr:colOff>417552</xdr:colOff>
      <xdr:row>9</xdr:row>
      <xdr:rowOff>477042</xdr:rowOff>
    </xdr:from>
    <xdr:to>
      <xdr:col>24</xdr:col>
      <xdr:colOff>158329</xdr:colOff>
      <xdr:row>10</xdr:row>
      <xdr:rowOff>23324</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8270634" y="2458242"/>
          <a:ext cx="2788777" cy="2544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Name: </a:t>
          </a:r>
          <a:r>
            <a:rPr lang="en-US" sz="900">
              <a:latin typeface="Times New Roman" panose="02020603050405020304" pitchFamily="18" charset="0"/>
              <a:cs typeface="Times New Roman" panose="02020603050405020304" pitchFamily="18" charset="0"/>
            </a:rPr>
            <a:t>______________________________________</a:t>
          </a:r>
        </a:p>
      </xdr:txBody>
    </xdr:sp>
    <xdr:clientData/>
  </xdr:twoCellAnchor>
  <xdr:twoCellAnchor editAs="absolute">
    <xdr:from>
      <xdr:col>19</xdr:col>
      <xdr:colOff>417552</xdr:colOff>
      <xdr:row>10</xdr:row>
      <xdr:rowOff>17958</xdr:rowOff>
    </xdr:from>
    <xdr:to>
      <xdr:col>24</xdr:col>
      <xdr:colOff>162368</xdr:colOff>
      <xdr:row>10</xdr:row>
      <xdr:rowOff>272452</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8270634" y="2707370"/>
          <a:ext cx="2792816" cy="2544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Age:    </a:t>
          </a:r>
          <a:r>
            <a:rPr lang="en-US" sz="900">
              <a:latin typeface="Times New Roman" panose="02020603050405020304" pitchFamily="18" charset="0"/>
              <a:cs typeface="Times New Roman" panose="02020603050405020304" pitchFamily="18" charset="0"/>
            </a:rPr>
            <a:t>______________________________________</a:t>
          </a:r>
        </a:p>
      </xdr:txBody>
    </xdr:sp>
    <xdr:clientData/>
  </xdr:twoCellAnchor>
  <xdr:twoCellAnchor editAs="absolute">
    <xdr:from>
      <xdr:col>19</xdr:col>
      <xdr:colOff>417552</xdr:colOff>
      <xdr:row>10</xdr:row>
      <xdr:rowOff>267086</xdr:rowOff>
    </xdr:from>
    <xdr:to>
      <xdr:col>24</xdr:col>
      <xdr:colOff>166151</xdr:colOff>
      <xdr:row>10</xdr:row>
      <xdr:rowOff>521580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270634" y="2956498"/>
          <a:ext cx="2796599" cy="2544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Grade:</a:t>
          </a:r>
          <a:r>
            <a:rPr lang="en-US" sz="1100" baseline="0">
              <a:latin typeface="Times New Roman" panose="02020603050405020304" pitchFamily="18" charset="0"/>
              <a:cs typeface="Times New Roman" panose="02020603050405020304" pitchFamily="18" charset="0"/>
            </a:rPr>
            <a:t> </a:t>
          </a:r>
          <a:r>
            <a:rPr lang="en-US" sz="900">
              <a:latin typeface="Times New Roman" panose="02020603050405020304" pitchFamily="18" charset="0"/>
              <a:cs typeface="Times New Roman" panose="02020603050405020304" pitchFamily="18" charset="0"/>
            </a:rPr>
            <a:t>______________________________________</a:t>
          </a:r>
        </a:p>
      </xdr:txBody>
    </xdr:sp>
    <xdr:clientData/>
  </xdr:twoCellAnchor>
  <xdr:twoCellAnchor editAs="absolute">
    <xdr:from>
      <xdr:col>19</xdr:col>
      <xdr:colOff>417552</xdr:colOff>
      <xdr:row>10</xdr:row>
      <xdr:rowOff>516213</xdr:rowOff>
    </xdr:from>
    <xdr:to>
      <xdr:col>23</xdr:col>
      <xdr:colOff>555242</xdr:colOff>
      <xdr:row>11</xdr:row>
      <xdr:rowOff>60134</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270634" y="3205625"/>
          <a:ext cx="2576090" cy="2521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School</a:t>
          </a:r>
          <a:r>
            <a:rPr lang="en-US" sz="1100" baseline="0">
              <a:latin typeface="Times New Roman" panose="02020603050405020304" pitchFamily="18" charset="0"/>
              <a:cs typeface="Times New Roman" panose="02020603050405020304" pitchFamily="18" charset="0"/>
            </a:rPr>
            <a:t> Year</a:t>
          </a:r>
          <a:r>
            <a:rPr lang="en-US" sz="1100">
              <a:latin typeface="Times New Roman" panose="02020603050405020304" pitchFamily="18" charset="0"/>
              <a:cs typeface="Times New Roman" panose="02020603050405020304" pitchFamily="18" charset="0"/>
            </a:rPr>
            <a:t>:</a:t>
          </a:r>
          <a:r>
            <a:rPr lang="en-US" sz="1100" baseline="0">
              <a:latin typeface="Times New Roman" panose="02020603050405020304" pitchFamily="18" charset="0"/>
              <a:cs typeface="Times New Roman" panose="02020603050405020304" pitchFamily="18" charset="0"/>
            </a:rPr>
            <a:t> </a:t>
          </a:r>
          <a:r>
            <a:rPr lang="en-US" sz="900">
              <a:latin typeface="Times New Roman" panose="02020603050405020304" pitchFamily="18" charset="0"/>
              <a:cs typeface="Times New Roman" panose="02020603050405020304" pitchFamily="18" charset="0"/>
            </a:rPr>
            <a:t>____________________________</a:t>
          </a:r>
        </a:p>
      </xdr:txBody>
    </xdr:sp>
    <xdr:clientData/>
  </xdr:twoCellAnchor>
  <xdr:twoCellAnchor editAs="absolute">
    <xdr:from>
      <xdr:col>19</xdr:col>
      <xdr:colOff>417552</xdr:colOff>
      <xdr:row>11</xdr:row>
      <xdr:rowOff>57149</xdr:rowOff>
    </xdr:from>
    <xdr:to>
      <xdr:col>26</xdr:col>
      <xdr:colOff>393999</xdr:colOff>
      <xdr:row>11</xdr:row>
      <xdr:rowOff>307586</xdr:rowOff>
    </xdr:to>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8672253" y="3394709"/>
          <a:ext cx="4243647" cy="2504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Track/Strand</a:t>
          </a:r>
          <a:r>
            <a:rPr lang="en-US" sz="1100" baseline="0">
              <a:latin typeface="Times New Roman" panose="02020603050405020304" pitchFamily="18" charset="0"/>
              <a:cs typeface="Times New Roman" panose="02020603050405020304" pitchFamily="18" charset="0"/>
            </a:rPr>
            <a:t> </a:t>
          </a:r>
          <a:r>
            <a:rPr lang="en-US" sz="1100">
              <a:latin typeface="Times New Roman" panose="02020603050405020304" pitchFamily="18" charset="0"/>
              <a:cs typeface="Times New Roman" panose="02020603050405020304" pitchFamily="18" charset="0"/>
            </a:rPr>
            <a:t>:</a:t>
          </a:r>
          <a:r>
            <a:rPr lang="en-US" sz="1100" baseline="0">
              <a:latin typeface="Times New Roman" panose="02020603050405020304" pitchFamily="18" charset="0"/>
              <a:cs typeface="Times New Roman" panose="02020603050405020304" pitchFamily="18" charset="0"/>
            </a:rPr>
            <a:t> </a:t>
          </a:r>
          <a:r>
            <a:rPr lang="en-US" sz="900">
              <a:latin typeface="Times New Roman" panose="02020603050405020304" pitchFamily="18" charset="0"/>
              <a:cs typeface="Times New Roman" panose="02020603050405020304" pitchFamily="18" charset="0"/>
            </a:rPr>
            <a:t>_______________________________________________________</a:t>
          </a:r>
        </a:p>
      </xdr:txBody>
    </xdr:sp>
    <xdr:clientData/>
  </xdr:twoCellAnchor>
  <xdr:twoCellAnchor editAs="absolute">
    <xdr:from>
      <xdr:col>23</xdr:col>
      <xdr:colOff>603127</xdr:colOff>
      <xdr:row>9</xdr:row>
      <xdr:rowOff>477042</xdr:rowOff>
    </xdr:from>
    <xdr:to>
      <xdr:col>26</xdr:col>
      <xdr:colOff>331869</xdr:colOff>
      <xdr:row>10</xdr:row>
      <xdr:rowOff>517532</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10894609" y="2458242"/>
          <a:ext cx="1557542" cy="748702"/>
          <a:chOff x="13555980" y="2369820"/>
          <a:chExt cx="1557542" cy="757413"/>
        </a:xfrm>
        <a:solidFill>
          <a:schemeClr val="bg1"/>
        </a:solidFill>
      </xdr:grpSpPr>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3648954" y="2369820"/>
            <a:ext cx="1464568" cy="25449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LRN: </a:t>
            </a:r>
            <a:r>
              <a:rPr lang="en-US" sz="900">
                <a:latin typeface="Times New Roman" panose="02020603050405020304" pitchFamily="18" charset="0"/>
                <a:cs typeface="Times New Roman" panose="02020603050405020304" pitchFamily="18" charset="0"/>
              </a:rPr>
              <a:t>________________</a:t>
            </a:r>
          </a:p>
        </xdr:txBody>
      </xdr:sp>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13555980" y="2621280"/>
            <a:ext cx="1557542" cy="25449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Sex:    </a:t>
            </a:r>
            <a:r>
              <a:rPr lang="en-US" sz="900">
                <a:latin typeface="Times New Roman" panose="02020603050405020304" pitchFamily="18" charset="0"/>
                <a:cs typeface="Times New Roman" panose="02020603050405020304" pitchFamily="18" charset="0"/>
              </a:rPr>
              <a:t>_________________</a:t>
            </a:r>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3565726" y="2872740"/>
            <a:ext cx="1547796" cy="25449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Section:</a:t>
            </a:r>
            <a:r>
              <a:rPr lang="en-US" sz="1100" baseline="0">
                <a:latin typeface="Times New Roman" panose="02020603050405020304" pitchFamily="18" charset="0"/>
                <a:cs typeface="Times New Roman" panose="02020603050405020304" pitchFamily="18" charset="0"/>
              </a:rPr>
              <a:t> </a:t>
            </a:r>
            <a:r>
              <a:rPr lang="en-US" sz="900">
                <a:latin typeface="Times New Roman" panose="02020603050405020304" pitchFamily="18" charset="0"/>
                <a:cs typeface="Times New Roman" panose="02020603050405020304" pitchFamily="18" charset="0"/>
              </a:rPr>
              <a:t>_______________</a:t>
            </a:r>
          </a:p>
        </xdr:txBody>
      </xdr:sp>
    </xdr:grpSp>
    <xdr:clientData/>
  </xdr:twoCellAnchor>
  <xdr:twoCellAnchor editAs="absolute">
    <xdr:from>
      <xdr:col>19</xdr:col>
      <xdr:colOff>440413</xdr:colOff>
      <xdr:row>11</xdr:row>
      <xdr:rowOff>446563</xdr:rowOff>
    </xdr:from>
    <xdr:to>
      <xdr:col>26</xdr:col>
      <xdr:colOff>455652</xdr:colOff>
      <xdr:row>17</xdr:row>
      <xdr:rowOff>72592</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5654734" y="3776503"/>
          <a:ext cx="4282439" cy="12490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t">
          <a:noAutofit/>
        </a:bodyPr>
        <a:lstStyle/>
        <a:p>
          <a:pPr algn="l"/>
          <a:r>
            <a:rPr lang="en-US" sz="1100">
              <a:latin typeface="Times New Roman" panose="02020603050405020304" pitchFamily="18" charset="0"/>
              <a:cs typeface="Times New Roman" panose="02020603050405020304" pitchFamily="18" charset="0"/>
            </a:rPr>
            <a:t>Dear Parent/Guardian,</a:t>
          </a:r>
        </a:p>
        <a:p>
          <a:pPr algn="l"/>
          <a:r>
            <a:rPr lang="en-US" sz="1100" baseline="0">
              <a:latin typeface="Times New Roman" panose="02020603050405020304" pitchFamily="18" charset="0"/>
              <a:cs typeface="Times New Roman" panose="02020603050405020304" pitchFamily="18" charset="0"/>
            </a:rPr>
            <a:t>         </a:t>
          </a:r>
          <a:r>
            <a:rPr lang="en-US" sz="1100">
              <a:latin typeface="Times New Roman" panose="02020603050405020304" pitchFamily="18" charset="0"/>
              <a:cs typeface="Times New Roman" panose="02020603050405020304" pitchFamily="18" charset="0"/>
            </a:rPr>
            <a:t>This report card shows the ability and progress your child has made in the different learning areas as well as his/her core values. 	</a:t>
          </a:r>
        </a:p>
        <a:p>
          <a:pPr algn="l"/>
          <a:r>
            <a:rPr lang="en-US" sz="1100">
              <a:latin typeface="Times New Roman" panose="02020603050405020304" pitchFamily="18" charset="0"/>
              <a:cs typeface="Times New Roman" panose="02020603050405020304" pitchFamily="18" charset="0"/>
            </a:rPr>
            <a:t>         The school welcomes you should you desire to know more about your child’s progress.</a:t>
          </a:r>
        </a:p>
        <a:p>
          <a:pPr algn="l"/>
          <a:r>
            <a:rPr lang="en-US" sz="1100">
              <a:latin typeface="Times New Roman" panose="02020603050405020304" pitchFamily="18" charset="0"/>
              <a:cs typeface="Times New Roman" panose="02020603050405020304" pitchFamily="18" charset="0"/>
            </a:rPr>
            <a:t> </a:t>
          </a:r>
        </a:p>
        <a:p>
          <a:pPr algn="l"/>
          <a:endParaRPr lang="en-US" sz="1100">
            <a:latin typeface="Times New Roman" panose="02020603050405020304" pitchFamily="18" charset="0"/>
            <a:cs typeface="Times New Roman" panose="02020603050405020304" pitchFamily="18" charset="0"/>
          </a:endParaRPr>
        </a:p>
      </xdr:txBody>
    </xdr:sp>
    <xdr:clientData/>
  </xdr:twoCellAnchor>
  <xdr:twoCellAnchor editAs="absolute">
    <xdr:from>
      <xdr:col>19</xdr:col>
      <xdr:colOff>486132</xdr:colOff>
      <xdr:row>18</xdr:row>
      <xdr:rowOff>496</xdr:rowOff>
    </xdr:from>
    <xdr:to>
      <xdr:col>22</xdr:col>
      <xdr:colOff>547092</xdr:colOff>
      <xdr:row>19</xdr:row>
      <xdr:rowOff>67161</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8740833" y="5143996"/>
          <a:ext cx="1889760" cy="249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a:latin typeface="Times New Roman" panose="02020603050405020304" pitchFamily="18" charset="0"/>
              <a:cs typeface="Times New Roman" panose="02020603050405020304" pitchFamily="18" charset="0"/>
            </a:rPr>
            <a:t>Secondary</a:t>
          </a:r>
          <a:r>
            <a:rPr lang="en-US" sz="1100" baseline="0">
              <a:latin typeface="Times New Roman" panose="02020603050405020304" pitchFamily="18" charset="0"/>
              <a:cs typeface="Times New Roman" panose="02020603050405020304" pitchFamily="18" charset="0"/>
            </a:rPr>
            <a:t> School Principal</a:t>
          </a:r>
          <a:endParaRPr lang="en-US" sz="900">
            <a:latin typeface="Times New Roman" panose="02020603050405020304" pitchFamily="18" charset="0"/>
            <a:cs typeface="Times New Roman" panose="02020603050405020304" pitchFamily="18" charset="0"/>
          </a:endParaRPr>
        </a:p>
      </xdr:txBody>
    </xdr:sp>
    <xdr:clientData/>
  </xdr:twoCellAnchor>
  <xdr:twoCellAnchor editAs="absolute">
    <xdr:from>
      <xdr:col>24</xdr:col>
      <xdr:colOff>113866</xdr:colOff>
      <xdr:row>16</xdr:row>
      <xdr:rowOff>109032</xdr:rowOff>
    </xdr:from>
    <xdr:to>
      <xdr:col>26</xdr:col>
      <xdr:colOff>251026</xdr:colOff>
      <xdr:row>18</xdr:row>
      <xdr:rowOff>1351</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1416567" y="4886772"/>
          <a:ext cx="1356360" cy="2580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a:latin typeface="Times New Roman" panose="02020603050405020304" pitchFamily="18" charset="0"/>
              <a:cs typeface="Times New Roman" panose="02020603050405020304" pitchFamily="18" charset="0"/>
            </a:rPr>
            <a:t>Teacher</a:t>
          </a:r>
          <a:endParaRPr lang="en-US" sz="900">
            <a:latin typeface="Times New Roman" panose="02020603050405020304" pitchFamily="18" charset="0"/>
            <a:cs typeface="Times New Roman" panose="02020603050405020304" pitchFamily="18" charset="0"/>
          </a:endParaRPr>
        </a:p>
      </xdr:txBody>
    </xdr:sp>
    <xdr:clientData/>
  </xdr:twoCellAnchor>
  <xdr:twoCellAnchor editAs="absolute">
    <xdr:from>
      <xdr:col>22</xdr:col>
      <xdr:colOff>54005</xdr:colOff>
      <xdr:row>19</xdr:row>
      <xdr:rowOff>153861</xdr:rowOff>
    </xdr:from>
    <xdr:to>
      <xdr:col>24</xdr:col>
      <xdr:colOff>179119</xdr:colOff>
      <xdr:row>22</xdr:row>
      <xdr:rowOff>132114</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0137506" y="5480241"/>
          <a:ext cx="1344314" cy="5268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b="1">
              <a:latin typeface="Times New Roman" panose="02020603050405020304" pitchFamily="18" charset="0"/>
              <a:cs typeface="Times New Roman" panose="02020603050405020304" pitchFamily="18" charset="0"/>
            </a:rPr>
            <a:t>Certificate of Transfer</a:t>
          </a:r>
        </a:p>
      </xdr:txBody>
    </xdr:sp>
    <xdr:clientData/>
  </xdr:twoCellAnchor>
  <xdr:twoCellAnchor editAs="absolute">
    <xdr:from>
      <xdr:col>19</xdr:col>
      <xdr:colOff>428982</xdr:colOff>
      <xdr:row>21</xdr:row>
      <xdr:rowOff>14209</xdr:rowOff>
    </xdr:from>
    <xdr:to>
      <xdr:col>26</xdr:col>
      <xdr:colOff>413742</xdr:colOff>
      <xdr:row>24</xdr:row>
      <xdr:rowOff>167640</xdr:rowOff>
    </xdr:to>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683683" y="5706349"/>
          <a:ext cx="4251960" cy="7020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b="0">
              <a:latin typeface="Times New Roman" panose="02020603050405020304" pitchFamily="18" charset="0"/>
              <a:cs typeface="Times New Roman" panose="02020603050405020304" pitchFamily="18" charset="0"/>
            </a:rPr>
            <a:t>Admitted to Grade</a:t>
          </a:r>
          <a:r>
            <a:rPr lang="en-US" sz="1100" b="0" baseline="0">
              <a:latin typeface="Times New Roman" panose="02020603050405020304" pitchFamily="18" charset="0"/>
              <a:cs typeface="Times New Roman" panose="02020603050405020304" pitchFamily="18" charset="0"/>
            </a:rPr>
            <a:t> __________________Section: ___________________</a:t>
          </a:r>
        </a:p>
        <a:p>
          <a:pPr algn="l"/>
          <a:r>
            <a:rPr lang="en-US" sz="1100" b="0">
              <a:latin typeface="Times New Roman" panose="02020603050405020304" pitchFamily="18" charset="0"/>
              <a:cs typeface="Times New Roman" panose="02020603050405020304" pitchFamily="18" charset="0"/>
            </a:rPr>
            <a:t>Eligibility for Admission</a:t>
          </a:r>
          <a:r>
            <a:rPr lang="en-US" sz="1100" b="0" baseline="0">
              <a:latin typeface="Times New Roman" panose="02020603050405020304" pitchFamily="18" charset="0"/>
              <a:cs typeface="Times New Roman" panose="02020603050405020304" pitchFamily="18" charset="0"/>
            </a:rPr>
            <a:t> to Grade: _______________________________</a:t>
          </a:r>
        </a:p>
        <a:p>
          <a:pPr algn="l"/>
          <a:endParaRPr lang="en-US" sz="300" b="0" baseline="0">
            <a:latin typeface="Times New Roman" panose="02020603050405020304" pitchFamily="18" charset="0"/>
            <a:cs typeface="Times New Roman" panose="02020603050405020304" pitchFamily="18" charset="0"/>
          </a:endParaRPr>
        </a:p>
        <a:p>
          <a:pPr algn="l"/>
          <a:r>
            <a:rPr lang="en-US" sz="1100" b="0">
              <a:latin typeface="Times New Roman" panose="02020603050405020304" pitchFamily="18" charset="0"/>
              <a:cs typeface="Times New Roman" panose="02020603050405020304" pitchFamily="18" charset="0"/>
            </a:rPr>
            <a:t>Approved:</a:t>
          </a:r>
        </a:p>
        <a:p>
          <a:pPr algn="l"/>
          <a:endParaRPr lang="en-US" sz="1100" b="0">
            <a:latin typeface="Times New Roman" panose="02020603050405020304" pitchFamily="18" charset="0"/>
            <a:cs typeface="Times New Roman" panose="02020603050405020304" pitchFamily="18" charset="0"/>
          </a:endParaRPr>
        </a:p>
        <a:p>
          <a:pPr algn="l"/>
          <a:r>
            <a:rPr lang="en-US" sz="1100" b="0">
              <a:latin typeface="Times New Roman" panose="02020603050405020304" pitchFamily="18" charset="0"/>
              <a:cs typeface="Times New Roman" panose="02020603050405020304" pitchFamily="18" charset="0"/>
            </a:rPr>
            <a:t>	</a:t>
          </a:r>
        </a:p>
        <a:p>
          <a:pPr algn="l"/>
          <a:endParaRPr lang="en-US" sz="1100" b="0">
            <a:latin typeface="Times New Roman" panose="02020603050405020304" pitchFamily="18" charset="0"/>
            <a:cs typeface="Times New Roman" panose="02020603050405020304" pitchFamily="18" charset="0"/>
          </a:endParaRPr>
        </a:p>
      </xdr:txBody>
    </xdr:sp>
    <xdr:clientData/>
  </xdr:twoCellAnchor>
  <xdr:twoCellAnchor editAs="absolute">
    <xdr:from>
      <xdr:col>21</xdr:col>
      <xdr:colOff>36762</xdr:colOff>
      <xdr:row>27</xdr:row>
      <xdr:rowOff>97826</xdr:rowOff>
    </xdr:from>
    <xdr:to>
      <xdr:col>25</xdr:col>
      <xdr:colOff>196362</xdr:colOff>
      <xdr:row>28</xdr:row>
      <xdr:rowOff>174473</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9510663" y="6887246"/>
          <a:ext cx="2598000" cy="2595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b="1">
              <a:latin typeface="Times New Roman" panose="02020603050405020304" pitchFamily="18" charset="0"/>
              <a:cs typeface="Times New Roman" panose="02020603050405020304" pitchFamily="18" charset="0"/>
            </a:rPr>
            <a:t>Cancellation of Eligibility</a:t>
          </a:r>
          <a:r>
            <a:rPr lang="en-US" sz="1100" b="1" baseline="0">
              <a:latin typeface="Times New Roman" panose="02020603050405020304" pitchFamily="18" charset="0"/>
              <a:cs typeface="Times New Roman" panose="02020603050405020304" pitchFamily="18" charset="0"/>
            </a:rPr>
            <a:t> to Transfer</a:t>
          </a:r>
          <a:endParaRPr lang="en-US" sz="1100" b="1">
            <a:latin typeface="Times New Roman" panose="02020603050405020304" pitchFamily="18" charset="0"/>
            <a:cs typeface="Times New Roman" panose="02020603050405020304" pitchFamily="18" charset="0"/>
          </a:endParaRPr>
        </a:p>
      </xdr:txBody>
    </xdr:sp>
    <xdr:clientData/>
  </xdr:twoCellAnchor>
  <xdr:twoCellAnchor editAs="absolute">
    <xdr:from>
      <xdr:col>19</xdr:col>
      <xdr:colOff>428982</xdr:colOff>
      <xdr:row>28</xdr:row>
      <xdr:rowOff>176805</xdr:rowOff>
    </xdr:from>
    <xdr:to>
      <xdr:col>26</xdr:col>
      <xdr:colOff>413742</xdr:colOff>
      <xdr:row>32</xdr:row>
      <xdr:rowOff>32833</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8683683" y="7149105"/>
          <a:ext cx="4251960" cy="587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b="0">
              <a:latin typeface="Times New Roman" panose="02020603050405020304" pitchFamily="18" charset="0"/>
              <a:cs typeface="Times New Roman" panose="02020603050405020304" pitchFamily="18" charset="0"/>
            </a:rPr>
            <a:t>Admitted in:</a:t>
          </a:r>
          <a:r>
            <a:rPr lang="en-US" sz="1100" b="0" baseline="0">
              <a:latin typeface="Times New Roman" panose="02020603050405020304" pitchFamily="18" charset="0"/>
              <a:cs typeface="Times New Roman" panose="02020603050405020304" pitchFamily="18" charset="0"/>
            </a:rPr>
            <a:t> __________________          Section: ___________________</a:t>
          </a:r>
        </a:p>
        <a:p>
          <a:pPr algn="l"/>
          <a:r>
            <a:rPr lang="en-US" sz="1100" b="0" baseline="0">
              <a:latin typeface="Times New Roman" panose="02020603050405020304" pitchFamily="18" charset="0"/>
              <a:cs typeface="Times New Roman" panose="02020603050405020304" pitchFamily="18" charset="0"/>
            </a:rPr>
            <a:t>Date: ________________________          __________________________</a:t>
          </a:r>
        </a:p>
        <a:p>
          <a:pPr algn="l"/>
          <a:r>
            <a:rPr lang="en-US" sz="1100" b="0" baseline="0">
              <a:latin typeface="Times New Roman" panose="02020603050405020304" pitchFamily="18" charset="0"/>
              <a:cs typeface="Times New Roman" panose="02020603050405020304" pitchFamily="18" charset="0"/>
            </a:rPr>
            <a:t>			         Principal</a:t>
          </a:r>
          <a:endParaRPr lang="en-US" sz="1100" b="0">
            <a:latin typeface="Times New Roman" panose="02020603050405020304" pitchFamily="18" charset="0"/>
            <a:cs typeface="Times New Roman" panose="02020603050405020304" pitchFamily="18" charset="0"/>
          </a:endParaRPr>
        </a:p>
      </xdr:txBody>
    </xdr:sp>
    <xdr:clientData/>
  </xdr:twoCellAnchor>
  <xdr:twoCellAnchor editAs="absolute">
    <xdr:from>
      <xdr:col>5</xdr:col>
      <xdr:colOff>0</xdr:colOff>
      <xdr:row>5</xdr:row>
      <xdr:rowOff>0</xdr:rowOff>
    </xdr:from>
    <xdr:to>
      <xdr:col>18</xdr:col>
      <xdr:colOff>35859</xdr:colOff>
      <xdr:row>7</xdr:row>
      <xdr:rowOff>0</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403860" y="906780"/>
          <a:ext cx="4328160" cy="365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50" b="1">
              <a:latin typeface="Times New Roman" panose="02020603050405020304" pitchFamily="18" charset="0"/>
              <a:cs typeface="Times New Roman" panose="02020603050405020304" pitchFamily="18" charset="0"/>
            </a:rPr>
            <a:t>REPORT ON ATTENDANCE</a:t>
          </a:r>
        </a:p>
      </xdr:txBody>
    </xdr:sp>
    <xdr:clientData/>
  </xdr:twoCellAnchor>
  <xdr:twoCellAnchor editAs="absolute">
    <xdr:from>
      <xdr:col>5</xdr:col>
      <xdr:colOff>2445</xdr:colOff>
      <xdr:row>14</xdr:row>
      <xdr:rowOff>0</xdr:rowOff>
    </xdr:from>
    <xdr:to>
      <xdr:col>18</xdr:col>
      <xdr:colOff>35859</xdr:colOff>
      <xdr:row>16</xdr:row>
      <xdr:rowOff>1493</xdr:rowOff>
    </xdr:to>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406305" y="4404360"/>
          <a:ext cx="4325715" cy="367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50" b="1">
              <a:latin typeface="Times New Roman" panose="02020603050405020304" pitchFamily="18" charset="0"/>
              <a:cs typeface="Times New Roman" panose="02020603050405020304" pitchFamily="18" charset="0"/>
            </a:rPr>
            <a:t>PARENT/GUARDIAN'S SIGNATURE</a:t>
          </a:r>
        </a:p>
      </xdr:txBody>
    </xdr:sp>
    <xdr:clientData/>
  </xdr:twoCellAnchor>
  <xdr:twoCellAnchor editAs="absolute">
    <xdr:from>
      <xdr:col>5</xdr:col>
      <xdr:colOff>2445</xdr:colOff>
      <xdr:row>15</xdr:row>
      <xdr:rowOff>179293</xdr:rowOff>
    </xdr:from>
    <xdr:to>
      <xdr:col>18</xdr:col>
      <xdr:colOff>35859</xdr:colOff>
      <xdr:row>22</xdr:row>
      <xdr:rowOff>177799</xdr:rowOff>
    </xdr:to>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406305" y="4766533"/>
          <a:ext cx="4325715" cy="1278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050" b="0">
              <a:latin typeface="Times New Roman" panose="02020603050405020304" pitchFamily="18" charset="0"/>
              <a:cs typeface="Times New Roman" panose="02020603050405020304" pitchFamily="18" charset="0"/>
            </a:rPr>
            <a:t>1st</a:t>
          </a:r>
          <a:r>
            <a:rPr lang="en-US" sz="1050" b="0" baseline="0">
              <a:latin typeface="Times New Roman" panose="02020603050405020304" pitchFamily="18" charset="0"/>
              <a:cs typeface="Times New Roman" panose="02020603050405020304" pitchFamily="18" charset="0"/>
            </a:rPr>
            <a:t> Quarter	________________________________________________</a:t>
          </a:r>
        </a:p>
        <a:p>
          <a:pPr algn="l"/>
          <a:endParaRPr lang="en-US" sz="800" b="0" baseline="0">
            <a:latin typeface="Times New Roman" panose="02020603050405020304" pitchFamily="18" charset="0"/>
            <a:cs typeface="Times New Roman" panose="020206030504050203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050" b="0">
              <a:latin typeface="Times New Roman" panose="02020603050405020304" pitchFamily="18" charset="0"/>
              <a:cs typeface="Times New Roman" panose="02020603050405020304" pitchFamily="18" charset="0"/>
            </a:rPr>
            <a:t>2nd Quarter	</a:t>
          </a:r>
          <a:r>
            <a:rPr lang="en-US" sz="1100" b="0" baseline="0">
              <a:solidFill>
                <a:schemeClr val="tx1"/>
              </a:solidFill>
              <a:effectLst/>
              <a:latin typeface="+mn-lt"/>
              <a:ea typeface="+mn-ea"/>
              <a:cs typeface="+mn-cs"/>
            </a:rPr>
            <a:t>______________________________________________</a:t>
          </a:r>
          <a:endParaRPr lang="en-US" sz="1050" b="0">
            <a:latin typeface="Times New Roman" panose="02020603050405020304" pitchFamily="18" charset="0"/>
            <a:cs typeface="Times New Roman" panose="02020603050405020304" pitchFamily="18" charset="0"/>
          </a:endParaRPr>
        </a:p>
        <a:p>
          <a:pPr algn="l"/>
          <a:endParaRPr lang="en-US" sz="800" b="0">
            <a:latin typeface="Times New Roman" panose="02020603050405020304" pitchFamily="18" charset="0"/>
            <a:cs typeface="Times New Roman" panose="020206030504050203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050" b="0">
              <a:latin typeface="Times New Roman" panose="02020603050405020304" pitchFamily="18" charset="0"/>
              <a:cs typeface="Times New Roman" panose="02020603050405020304" pitchFamily="18" charset="0"/>
            </a:rPr>
            <a:t>3rd Quarter	</a:t>
          </a:r>
          <a:r>
            <a:rPr lang="en-US" sz="1100" b="0" baseline="0">
              <a:solidFill>
                <a:schemeClr val="tx1"/>
              </a:solidFill>
              <a:effectLst/>
              <a:latin typeface="+mn-lt"/>
              <a:ea typeface="+mn-ea"/>
              <a:cs typeface="+mn-cs"/>
            </a:rPr>
            <a:t>______________________________________________</a:t>
          </a:r>
          <a:endParaRPr lang="en-US" sz="1050" b="0">
            <a:latin typeface="Times New Roman" panose="02020603050405020304" pitchFamily="18" charset="0"/>
            <a:cs typeface="Times New Roman" panose="02020603050405020304" pitchFamily="18" charset="0"/>
          </a:endParaRPr>
        </a:p>
        <a:p>
          <a:pPr algn="l"/>
          <a:endParaRPr lang="en-US" sz="800" b="0">
            <a:latin typeface="Times New Roman" panose="02020603050405020304" pitchFamily="18" charset="0"/>
            <a:cs typeface="Times New Roman" panose="020206030504050203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050" b="0">
              <a:latin typeface="Times New Roman" panose="02020603050405020304" pitchFamily="18" charset="0"/>
              <a:cs typeface="Times New Roman" panose="02020603050405020304" pitchFamily="18" charset="0"/>
            </a:rPr>
            <a:t>4th Quarter	</a:t>
          </a:r>
          <a:r>
            <a:rPr lang="en-US" sz="1100" b="0" baseline="0">
              <a:solidFill>
                <a:schemeClr val="tx1"/>
              </a:solidFill>
              <a:effectLst/>
              <a:latin typeface="+mn-lt"/>
              <a:ea typeface="+mn-ea"/>
              <a:cs typeface="+mn-cs"/>
            </a:rPr>
            <a:t>______________________________________________</a:t>
          </a:r>
          <a:endParaRPr lang="en-US" sz="1050">
            <a:effectLst/>
          </a:endParaRPr>
        </a:p>
        <a:p>
          <a:pPr algn="l"/>
          <a:endParaRPr lang="en-US" sz="1050" b="0">
            <a:latin typeface="Times New Roman" panose="02020603050405020304" pitchFamily="18" charset="0"/>
            <a:cs typeface="Times New Roman" panose="02020603050405020304" pitchFamily="18" charset="0"/>
          </a:endParaRPr>
        </a:p>
      </xdr:txBody>
    </xdr:sp>
    <xdr:clientData/>
  </xdr:twoCellAnchor>
  <xdr:oneCellAnchor>
    <xdr:from>
      <xdr:col>19</xdr:col>
      <xdr:colOff>574223</xdr:colOff>
      <xdr:row>17</xdr:row>
      <xdr:rowOff>76066</xdr:rowOff>
    </xdr:from>
    <xdr:ext cx="1641860" cy="162160"/>
    <xdr:sp macro="" textlink="School_Principal">
      <xdr:nvSpPr>
        <xdr:cNvPr id="29" name="TextBox 28">
          <a:extLst>
            <a:ext uri="{FF2B5EF4-FFF2-40B4-BE49-F238E27FC236}">
              <a16:creationId xmlns:a16="http://schemas.microsoft.com/office/drawing/2014/main" id="{00000000-0008-0000-0300-00001D000000}"/>
            </a:ext>
          </a:extLst>
        </xdr:cNvPr>
        <xdr:cNvSpPr txBox="1">
          <a:spLocks/>
        </xdr:cNvSpPr>
      </xdr:nvSpPr>
      <xdr:spPr>
        <a:xfrm>
          <a:off x="8463164" y="5078372"/>
          <a:ext cx="1641860"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130578A6-1152-4E0A-9863-040274F87780}" type="TxLink">
            <a:rPr lang="en-US" sz="1100" b="0" i="0" u="sng" strike="noStrike">
              <a:solidFill>
                <a:srgbClr val="000000"/>
              </a:solidFill>
              <a:effectLst/>
              <a:latin typeface="Times New Roman"/>
              <a:ea typeface="+mn-ea"/>
              <a:cs typeface="Times New Roman"/>
            </a:rPr>
            <a:pPr algn="ctr"/>
            <a:t>JUAN DELA CRUZ</a:t>
          </a:fld>
          <a:endParaRPr lang="en-US" sz="1100" u="sng">
            <a:latin typeface="Times New Roman" panose="02020603050405020304" pitchFamily="18" charset="0"/>
            <a:cs typeface="Times New Roman" panose="02020603050405020304" pitchFamily="18" charset="0"/>
          </a:endParaRPr>
        </a:p>
      </xdr:txBody>
    </xdr:sp>
    <xdr:clientData/>
  </xdr:oneCellAnchor>
  <xdr:oneCellAnchor>
    <xdr:from>
      <xdr:col>20</xdr:col>
      <xdr:colOff>281940</xdr:colOff>
      <xdr:row>9</xdr:row>
      <xdr:rowOff>533737</xdr:rowOff>
    </xdr:from>
    <xdr:ext cx="1549270" cy="147476"/>
    <xdr:sp macro="" textlink="Student_FullName">
      <xdr:nvSpPr>
        <xdr:cNvPr id="27" name="TextBox 26">
          <a:extLst>
            <a:ext uri="{FF2B5EF4-FFF2-40B4-BE49-F238E27FC236}">
              <a16:creationId xmlns:a16="http://schemas.microsoft.com/office/drawing/2014/main" id="{00000000-0008-0000-0300-00001B000000}"/>
            </a:ext>
          </a:extLst>
        </xdr:cNvPr>
        <xdr:cNvSpPr txBox="1">
          <a:spLocks/>
        </xdr:cNvSpPr>
      </xdr:nvSpPr>
      <xdr:spPr>
        <a:xfrm>
          <a:off x="8780481" y="2514937"/>
          <a:ext cx="1549270" cy="1474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25788DAC-009B-488E-BC17-92861A6B003E}" type="TxLink">
            <a:rPr lang="en-US" sz="1000" b="0" i="0" u="none" strike="noStrike">
              <a:solidFill>
                <a:sysClr val="windowText" lastClr="000000"/>
              </a:solidFill>
              <a:latin typeface="Times New Roman"/>
              <a:ea typeface="Calibri"/>
              <a:cs typeface="Times New Roman"/>
            </a:rPr>
            <a:pPr/>
            <a:t>ROBBIE, MARGOT E.</a:t>
          </a:fld>
          <a:endParaRPr lang="en-US" sz="11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24</xdr:col>
      <xdr:colOff>518160</xdr:colOff>
      <xdr:row>9</xdr:row>
      <xdr:rowOff>519052</xdr:rowOff>
    </xdr:from>
    <xdr:ext cx="846386" cy="162160"/>
    <xdr:sp macro="" textlink="LRN">
      <xdr:nvSpPr>
        <xdr:cNvPr id="31" name="TextBox 30">
          <a:extLst>
            <a:ext uri="{FF2B5EF4-FFF2-40B4-BE49-F238E27FC236}">
              <a16:creationId xmlns:a16="http://schemas.microsoft.com/office/drawing/2014/main" id="{00000000-0008-0000-0300-00001F000000}"/>
            </a:ext>
          </a:extLst>
        </xdr:cNvPr>
        <xdr:cNvSpPr txBox="1">
          <a:spLocks/>
        </xdr:cNvSpPr>
      </xdr:nvSpPr>
      <xdr:spPr>
        <a:xfrm>
          <a:off x="11455101" y="2500252"/>
          <a:ext cx="846386"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189865F6-F8CE-404C-8021-7AE90F6EB55C}" type="TxLink">
            <a:rPr lang="en-US" sz="1100" b="0" i="0" u="none" strike="noStrike">
              <a:solidFill>
                <a:srgbClr val="000000"/>
              </a:solidFill>
              <a:latin typeface="Times New Roman"/>
              <a:ea typeface="Calibri"/>
              <a:cs typeface="Times New Roman"/>
            </a:rPr>
            <a:pPr/>
            <a:t>127944090258</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20</xdr:col>
      <xdr:colOff>281940</xdr:colOff>
      <xdr:row>10</xdr:row>
      <xdr:rowOff>54232</xdr:rowOff>
    </xdr:from>
    <xdr:ext cx="141064" cy="162160"/>
    <xdr:sp macro="" textlink="Age">
      <xdr:nvSpPr>
        <xdr:cNvPr id="32" name="TextBox 31">
          <a:extLst>
            <a:ext uri="{FF2B5EF4-FFF2-40B4-BE49-F238E27FC236}">
              <a16:creationId xmlns:a16="http://schemas.microsoft.com/office/drawing/2014/main" id="{00000000-0008-0000-0300-000020000000}"/>
            </a:ext>
          </a:extLst>
        </xdr:cNvPr>
        <xdr:cNvSpPr txBox="1">
          <a:spLocks/>
        </xdr:cNvSpPr>
      </xdr:nvSpPr>
      <xdr:spPr>
        <a:xfrm>
          <a:off x="8780481" y="2743644"/>
          <a:ext cx="141064"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55222DB0-9070-46F8-87C1-5CC07A9EF563}" type="TxLink">
            <a:rPr lang="en-US" sz="1100" b="0" i="0" u="none" strike="noStrike">
              <a:solidFill>
                <a:srgbClr val="000000"/>
              </a:solidFill>
              <a:latin typeface="Times New Roman"/>
              <a:ea typeface="Calibri"/>
              <a:cs typeface="Times New Roman"/>
            </a:rPr>
            <a:pPr/>
            <a:t>25</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24</xdr:col>
      <xdr:colOff>457200</xdr:colOff>
      <xdr:row>10</xdr:row>
      <xdr:rowOff>54232</xdr:rowOff>
    </xdr:from>
    <xdr:ext cx="399661" cy="162160"/>
    <xdr:sp macro="" textlink="Sex">
      <xdr:nvSpPr>
        <xdr:cNvPr id="33" name="TextBox 32">
          <a:extLst>
            <a:ext uri="{FF2B5EF4-FFF2-40B4-BE49-F238E27FC236}">
              <a16:creationId xmlns:a16="http://schemas.microsoft.com/office/drawing/2014/main" id="{00000000-0008-0000-0300-000021000000}"/>
            </a:ext>
          </a:extLst>
        </xdr:cNvPr>
        <xdr:cNvSpPr txBox="1">
          <a:spLocks/>
        </xdr:cNvSpPr>
      </xdr:nvSpPr>
      <xdr:spPr>
        <a:xfrm>
          <a:off x="11394141" y="2743644"/>
          <a:ext cx="399661"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52B04A3B-CA72-48AE-A6A1-0232D5445D7E}" type="TxLink">
            <a:rPr lang="en-US" sz="1100" b="0" i="0" u="none" strike="noStrike">
              <a:solidFill>
                <a:srgbClr val="000000"/>
              </a:solidFill>
              <a:latin typeface="Times New Roman"/>
              <a:ea typeface="Calibri"/>
              <a:cs typeface="Times New Roman"/>
            </a:rPr>
            <a:pPr/>
            <a:t>FEMALE</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20</xdr:col>
      <xdr:colOff>281940</xdr:colOff>
      <xdr:row>10</xdr:row>
      <xdr:rowOff>305692</xdr:rowOff>
    </xdr:from>
    <xdr:ext cx="141064" cy="162160"/>
    <xdr:sp macro="" textlink="Grade_Level">
      <xdr:nvSpPr>
        <xdr:cNvPr id="34" name="TextBox 33">
          <a:extLst>
            <a:ext uri="{FF2B5EF4-FFF2-40B4-BE49-F238E27FC236}">
              <a16:creationId xmlns:a16="http://schemas.microsoft.com/office/drawing/2014/main" id="{00000000-0008-0000-0300-000022000000}"/>
            </a:ext>
          </a:extLst>
        </xdr:cNvPr>
        <xdr:cNvSpPr txBox="1">
          <a:spLocks/>
        </xdr:cNvSpPr>
      </xdr:nvSpPr>
      <xdr:spPr>
        <a:xfrm>
          <a:off x="8780481" y="2995104"/>
          <a:ext cx="141064"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470C89AF-32AF-49EC-B9A7-3DCAABB00143}" type="TxLink">
            <a:rPr lang="en-US" sz="1100" b="0" i="0" u="none" strike="noStrike">
              <a:solidFill>
                <a:srgbClr val="000000"/>
              </a:solidFill>
              <a:latin typeface="Times New Roman"/>
              <a:ea typeface="Calibri"/>
              <a:cs typeface="Times New Roman"/>
            </a:rPr>
            <a:pPr/>
            <a:t>12</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24</xdr:col>
      <xdr:colOff>556260</xdr:colOff>
      <xdr:row>10</xdr:row>
      <xdr:rowOff>305692</xdr:rowOff>
    </xdr:from>
    <xdr:ext cx="258597" cy="162160"/>
    <xdr:sp macro="" textlink="Section">
      <xdr:nvSpPr>
        <xdr:cNvPr id="35" name="TextBox 34">
          <a:extLst>
            <a:ext uri="{FF2B5EF4-FFF2-40B4-BE49-F238E27FC236}">
              <a16:creationId xmlns:a16="http://schemas.microsoft.com/office/drawing/2014/main" id="{00000000-0008-0000-0300-000023000000}"/>
            </a:ext>
          </a:extLst>
        </xdr:cNvPr>
        <xdr:cNvSpPr txBox="1">
          <a:spLocks/>
        </xdr:cNvSpPr>
      </xdr:nvSpPr>
      <xdr:spPr>
        <a:xfrm>
          <a:off x="11457342" y="2995104"/>
          <a:ext cx="258597"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2576C2C2-7C0A-4E3F-B37A-54C09AE5B616}" type="TxLink">
            <a:rPr lang="en-US" sz="1100" b="0" i="0" u="none" strike="noStrike">
              <a:solidFill>
                <a:srgbClr val="000000"/>
              </a:solidFill>
              <a:latin typeface="Times New Roman"/>
              <a:ea typeface="Calibri"/>
              <a:cs typeface="Times New Roman"/>
            </a:rPr>
            <a:pPr/>
            <a:t>AUTOMOTIVE</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21</xdr:col>
      <xdr:colOff>30480</xdr:colOff>
      <xdr:row>10</xdr:row>
      <xdr:rowOff>557152</xdr:rowOff>
    </xdr:from>
    <xdr:ext cx="611258" cy="162160"/>
    <xdr:sp macro="" textlink="School_Year">
      <xdr:nvSpPr>
        <xdr:cNvPr id="36" name="TextBox 35">
          <a:extLst>
            <a:ext uri="{FF2B5EF4-FFF2-40B4-BE49-F238E27FC236}">
              <a16:creationId xmlns:a16="http://schemas.microsoft.com/office/drawing/2014/main" id="{00000000-0008-0000-0300-000024000000}"/>
            </a:ext>
          </a:extLst>
        </xdr:cNvPr>
        <xdr:cNvSpPr txBox="1">
          <a:spLocks/>
        </xdr:cNvSpPr>
      </xdr:nvSpPr>
      <xdr:spPr>
        <a:xfrm>
          <a:off x="9138621" y="3246564"/>
          <a:ext cx="611258"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DE9DAD65-A1E9-45E2-8EDB-82EF8141553D}" type="TxLink">
            <a:rPr lang="en-US" sz="1100" b="0" i="0" u="none" strike="noStrike">
              <a:solidFill>
                <a:srgbClr val="000000"/>
              </a:solidFill>
              <a:latin typeface="Times New Roman"/>
              <a:ea typeface="Calibri"/>
              <a:cs typeface="Times New Roman"/>
            </a:rPr>
            <a:pPr/>
            <a:t>2023-2024</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21</xdr:col>
      <xdr:colOff>99060</xdr:colOff>
      <xdr:row>11</xdr:row>
      <xdr:rowOff>0</xdr:rowOff>
    </xdr:from>
    <xdr:ext cx="3325458" cy="254492"/>
    <xdr:sp macro="" textlink="Track_Strand">
      <xdr:nvSpPr>
        <xdr:cNvPr id="37" name="TextBox 36">
          <a:extLst>
            <a:ext uri="{FF2B5EF4-FFF2-40B4-BE49-F238E27FC236}">
              <a16:creationId xmlns:a16="http://schemas.microsoft.com/office/drawing/2014/main" id="{00000000-0008-0000-0300-000025000000}"/>
            </a:ext>
          </a:extLst>
        </xdr:cNvPr>
        <xdr:cNvSpPr txBox="1">
          <a:spLocks/>
        </xdr:cNvSpPr>
      </xdr:nvSpPr>
      <xdr:spPr>
        <a:xfrm>
          <a:off x="9171342" y="3397624"/>
          <a:ext cx="3325458" cy="2544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r>
            <a:rPr lang="en-US" sz="950" b="0" i="0">
              <a:solidFill>
                <a:schemeClr val="tx1"/>
              </a:solidFill>
              <a:effectLst/>
              <a:latin typeface="+mn-lt"/>
              <a:ea typeface="+mn-ea"/>
              <a:cs typeface="+mn-cs"/>
            </a:rPr>
            <a:t>Technical-Vocational-Livelihood Track-</a:t>
          </a:r>
          <a:r>
            <a:rPr lang="en-US" sz="950" b="0" i="0" baseline="0">
              <a:solidFill>
                <a:schemeClr val="tx1"/>
              </a:solidFill>
              <a:effectLst/>
              <a:latin typeface="+mn-lt"/>
              <a:ea typeface="+mn-ea"/>
              <a:cs typeface="+mn-cs"/>
            </a:rPr>
            <a:t> </a:t>
          </a:r>
          <a:r>
            <a:rPr lang="en-US" sz="950" b="0" i="0">
              <a:solidFill>
                <a:schemeClr val="tx1"/>
              </a:solidFill>
              <a:effectLst/>
              <a:latin typeface="+mn-lt"/>
              <a:ea typeface="+mn-ea"/>
              <a:cs typeface="+mn-cs"/>
            </a:rPr>
            <a:t>Automotive Servicing (NC I)</a:t>
          </a:r>
          <a:endParaRPr lang="en-US" sz="95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23</xdr:col>
      <xdr:colOff>554539</xdr:colOff>
      <xdr:row>16</xdr:row>
      <xdr:rowOff>2239</xdr:rowOff>
    </xdr:from>
    <xdr:ext cx="1622495" cy="162160"/>
    <xdr:sp macro="" textlink="Adviser">
      <xdr:nvSpPr>
        <xdr:cNvPr id="38" name="TextBox 37">
          <a:extLst>
            <a:ext uri="{FF2B5EF4-FFF2-40B4-BE49-F238E27FC236}">
              <a16:creationId xmlns:a16="http://schemas.microsoft.com/office/drawing/2014/main" id="{00000000-0008-0000-0300-000026000000}"/>
            </a:ext>
          </a:extLst>
        </xdr:cNvPr>
        <xdr:cNvSpPr txBox="1">
          <a:spLocks/>
        </xdr:cNvSpPr>
      </xdr:nvSpPr>
      <xdr:spPr>
        <a:xfrm>
          <a:off x="10881880" y="4825251"/>
          <a:ext cx="1622495"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marL="0" indent="0" algn="ctr"/>
          <a:fld id="{AA4FBD05-541F-4828-9CDE-6DEBF90B9CE9}" type="TxLink">
            <a:rPr lang="en-US" sz="1100" b="0" i="0" u="sng" strike="noStrike">
              <a:solidFill>
                <a:srgbClr val="000000"/>
              </a:solidFill>
              <a:effectLst/>
              <a:latin typeface="Times New Roman"/>
              <a:ea typeface="+mn-ea"/>
              <a:cs typeface="Times New Roman"/>
            </a:rPr>
            <a:pPr marL="0" indent="0" algn="ctr"/>
            <a:t>JAMES RHODE E. SALAC</a:t>
          </a:fld>
          <a:endParaRPr lang="en-US" sz="1100" b="0" i="0" u="sng" strike="noStrike">
            <a:solidFill>
              <a:srgbClr val="0D0D0D"/>
            </a:solidFill>
            <a:effectLst/>
            <a:latin typeface="Times New Roman"/>
            <a:ea typeface="+mn-ea"/>
            <a:cs typeface="Times New Roman"/>
          </a:endParaRPr>
        </a:p>
      </xdr:txBody>
    </xdr:sp>
    <xdr:clientData/>
  </xdr:oneCellAnchor>
  <xdr:twoCellAnchor editAs="absolute">
    <xdr:from>
      <xdr:col>19</xdr:col>
      <xdr:colOff>486132</xdr:colOff>
      <xdr:row>25</xdr:row>
      <xdr:rowOff>107756</xdr:rowOff>
    </xdr:from>
    <xdr:to>
      <xdr:col>22</xdr:col>
      <xdr:colOff>547092</xdr:colOff>
      <xdr:row>26</xdr:row>
      <xdr:rowOff>174421</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8740833" y="6531416"/>
          <a:ext cx="1889760" cy="249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a:latin typeface="Times New Roman" panose="02020603050405020304" pitchFamily="18" charset="0"/>
              <a:cs typeface="Times New Roman" panose="02020603050405020304" pitchFamily="18" charset="0"/>
            </a:rPr>
            <a:t>Secondary</a:t>
          </a:r>
          <a:r>
            <a:rPr lang="en-US" sz="1100" baseline="0">
              <a:latin typeface="Times New Roman" panose="02020603050405020304" pitchFamily="18" charset="0"/>
              <a:cs typeface="Times New Roman" panose="02020603050405020304" pitchFamily="18" charset="0"/>
            </a:rPr>
            <a:t> School Principal</a:t>
          </a:r>
          <a:endParaRPr lang="en-US" sz="900">
            <a:latin typeface="Times New Roman" panose="02020603050405020304" pitchFamily="18" charset="0"/>
            <a:cs typeface="Times New Roman" panose="02020603050405020304" pitchFamily="18" charset="0"/>
          </a:endParaRPr>
        </a:p>
      </xdr:txBody>
    </xdr:sp>
    <xdr:clientData/>
  </xdr:twoCellAnchor>
  <xdr:oneCellAnchor>
    <xdr:from>
      <xdr:col>19</xdr:col>
      <xdr:colOff>574223</xdr:colOff>
      <xdr:row>25</xdr:row>
      <xdr:rowOff>2239</xdr:rowOff>
    </xdr:from>
    <xdr:ext cx="1641860" cy="162160"/>
    <xdr:sp macro="" textlink="School_Principal">
      <xdr:nvSpPr>
        <xdr:cNvPr id="40" name="TextBox 39">
          <a:extLst>
            <a:ext uri="{FF2B5EF4-FFF2-40B4-BE49-F238E27FC236}">
              <a16:creationId xmlns:a16="http://schemas.microsoft.com/office/drawing/2014/main" id="{00000000-0008-0000-0300-000028000000}"/>
            </a:ext>
          </a:extLst>
        </xdr:cNvPr>
        <xdr:cNvSpPr txBox="1">
          <a:spLocks/>
        </xdr:cNvSpPr>
      </xdr:nvSpPr>
      <xdr:spPr>
        <a:xfrm>
          <a:off x="8463164" y="6438898"/>
          <a:ext cx="1641860"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6F1652ED-84A9-4865-8244-64C24339D09E}" type="TxLink">
            <a:rPr lang="en-US" sz="1100" b="0" i="0" u="sng" strike="noStrike">
              <a:solidFill>
                <a:srgbClr val="000000"/>
              </a:solidFill>
              <a:effectLst/>
              <a:latin typeface="Times New Roman"/>
              <a:ea typeface="+mn-ea"/>
              <a:cs typeface="Times New Roman"/>
            </a:rPr>
            <a:pPr algn="ctr"/>
            <a:t>JUAN DELA CRUZ</a:t>
          </a:fld>
          <a:endParaRPr lang="en-US" sz="1100" u="sng">
            <a:latin typeface="Times New Roman" panose="02020603050405020304" pitchFamily="18" charset="0"/>
            <a:cs typeface="Times New Roman" panose="02020603050405020304" pitchFamily="18" charset="0"/>
          </a:endParaRPr>
        </a:p>
      </xdr:txBody>
    </xdr:sp>
    <xdr:clientData/>
  </xdr:oneCellAnchor>
  <xdr:oneCellAnchor>
    <xdr:from>
      <xdr:col>23</xdr:col>
      <xdr:colOff>554539</xdr:colOff>
      <xdr:row>25</xdr:row>
      <xdr:rowOff>2239</xdr:rowOff>
    </xdr:from>
    <xdr:ext cx="1622495" cy="162160"/>
    <xdr:sp macro="" textlink="Adviser">
      <xdr:nvSpPr>
        <xdr:cNvPr id="43" name="TextBox 42">
          <a:extLst>
            <a:ext uri="{FF2B5EF4-FFF2-40B4-BE49-F238E27FC236}">
              <a16:creationId xmlns:a16="http://schemas.microsoft.com/office/drawing/2014/main" id="{00000000-0008-0000-0300-00002B000000}"/>
            </a:ext>
          </a:extLst>
        </xdr:cNvPr>
        <xdr:cNvSpPr txBox="1">
          <a:spLocks/>
        </xdr:cNvSpPr>
      </xdr:nvSpPr>
      <xdr:spPr>
        <a:xfrm>
          <a:off x="10881880" y="6438898"/>
          <a:ext cx="1622495"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marL="0" indent="0" algn="ctr"/>
          <a:fld id="{C5913FEB-321A-4918-B700-845F53593E82}" type="TxLink">
            <a:rPr lang="en-US" sz="1100" b="0" i="0" u="sng" strike="noStrike">
              <a:solidFill>
                <a:srgbClr val="000000"/>
              </a:solidFill>
              <a:effectLst/>
              <a:latin typeface="Times New Roman"/>
              <a:ea typeface="+mn-ea"/>
              <a:cs typeface="Times New Roman"/>
            </a:rPr>
            <a:pPr marL="0" indent="0" algn="ctr"/>
            <a:t>JAMES RHODE E. SALAC</a:t>
          </a:fld>
          <a:endParaRPr lang="en-US" sz="1100" b="0" i="0" u="sng" strike="noStrike">
            <a:solidFill>
              <a:srgbClr val="0D0D0D"/>
            </a:solidFill>
            <a:effectLst/>
            <a:latin typeface="Times New Roman"/>
            <a:ea typeface="+mn-ea"/>
            <a:cs typeface="Times New Roman"/>
          </a:endParaRPr>
        </a:p>
      </xdr:txBody>
    </xdr:sp>
    <xdr:clientData/>
  </xdr:oneCellAnchor>
  <xdr:twoCellAnchor editAs="absolute">
    <xdr:from>
      <xdr:col>24</xdr:col>
      <xdr:colOff>113866</xdr:colOff>
      <xdr:row>25</xdr:row>
      <xdr:rowOff>99222</xdr:rowOff>
    </xdr:from>
    <xdr:to>
      <xdr:col>26</xdr:col>
      <xdr:colOff>251026</xdr:colOff>
      <xdr:row>26</xdr:row>
      <xdr:rowOff>174421</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11416567" y="6522882"/>
          <a:ext cx="1356360" cy="2580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a:latin typeface="Times New Roman" panose="02020603050405020304" pitchFamily="18" charset="0"/>
              <a:cs typeface="Times New Roman" panose="02020603050405020304" pitchFamily="18" charset="0"/>
            </a:rPr>
            <a:t>Teacher</a:t>
          </a:r>
          <a:endParaRPr lang="en-US" sz="900">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17926</xdr:colOff>
      <xdr:row>2</xdr:row>
      <xdr:rowOff>17927</xdr:rowOff>
    </xdr:from>
    <xdr:to>
      <xdr:col>2</xdr:col>
      <xdr:colOff>799084</xdr:colOff>
      <xdr:row>4</xdr:row>
      <xdr:rowOff>78411</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1746" y="627527"/>
          <a:ext cx="148040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r>
            <a:rPr lang="en-US" sz="1400" b="1"/>
            <a:t>STUDENT NAMES</a:t>
          </a:r>
        </a:p>
      </xdr:txBody>
    </xdr:sp>
    <xdr:clientData/>
  </xdr:twoCellAnchor>
  <xdr:twoCellAnchor editAs="oneCell">
    <xdr:from>
      <xdr:col>1</xdr:col>
      <xdr:colOff>17926</xdr:colOff>
      <xdr:row>4</xdr:row>
      <xdr:rowOff>71725</xdr:rowOff>
    </xdr:from>
    <xdr:to>
      <xdr:col>3</xdr:col>
      <xdr:colOff>53788</xdr:colOff>
      <xdr:row>18</xdr:row>
      <xdr:rowOff>107576</xdr:rowOff>
    </xdr:to>
    <mc:AlternateContent xmlns:mc="http://schemas.openxmlformats.org/markup-compatibility/2006" xmlns:a14="http://schemas.microsoft.com/office/drawing/2010/main">
      <mc:Choice Requires="a14">
        <xdr:graphicFrame macro="">
          <xdr:nvGraphicFramePr>
            <xdr:cNvPr id="7" name="Student Name">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Student Name"/>
            </a:graphicData>
          </a:graphic>
        </xdr:graphicFrame>
      </mc:Choice>
      <mc:Fallback xmlns="">
        <xdr:sp macro="" textlink="">
          <xdr:nvSpPr>
            <xdr:cNvPr id="0" name=""/>
            <xdr:cNvSpPr>
              <a:spLocks noTextEdit="1"/>
            </xdr:cNvSpPr>
          </xdr:nvSpPr>
          <xdr:spPr>
            <a:xfrm>
              <a:off x="98608" y="896478"/>
              <a:ext cx="2545980" cy="4392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160762</xdr:colOff>
      <xdr:row>1</xdr:row>
      <xdr:rowOff>0</xdr:rowOff>
    </xdr:from>
    <xdr:to>
      <xdr:col>2</xdr:col>
      <xdr:colOff>525112</xdr:colOff>
      <xdr:row>1</xdr:row>
      <xdr:rowOff>274926</xdr:rowOff>
    </xdr:to>
    <xdr:grpSp>
      <xdr:nvGrpSpPr>
        <xdr:cNvPr id="63" name="Group 62">
          <a:extLst>
            <a:ext uri="{FF2B5EF4-FFF2-40B4-BE49-F238E27FC236}">
              <a16:creationId xmlns:a16="http://schemas.microsoft.com/office/drawing/2014/main" id="{AA95548B-92F1-4CDE-B7AC-8FB1C80813CB}"/>
            </a:ext>
          </a:extLst>
        </xdr:cNvPr>
        <xdr:cNvGrpSpPr/>
      </xdr:nvGrpSpPr>
      <xdr:grpSpPr>
        <a:xfrm>
          <a:off x="940691" y="143435"/>
          <a:ext cx="364350" cy="274926"/>
          <a:chOff x="14943988" y="883469"/>
          <a:chExt cx="339525" cy="274582"/>
        </a:xfrm>
      </xdr:grpSpPr>
      <xdr:sp macro="[0]!refresh_data" textlink="">
        <xdr:nvSpPr>
          <xdr:cNvPr id="3072" name="Rectangle 3071">
            <a:extLst>
              <a:ext uri="{FF2B5EF4-FFF2-40B4-BE49-F238E27FC236}">
                <a16:creationId xmlns:a16="http://schemas.microsoft.com/office/drawing/2014/main" id="{EB7C9050-5552-D34E-9F01-D81F61CA59CE}"/>
              </a:ext>
            </a:extLst>
          </xdr:cNvPr>
          <xdr:cNvSpPr/>
        </xdr:nvSpPr>
        <xdr:spPr>
          <a:xfrm>
            <a:off x="14943988" y="883469"/>
            <a:ext cx="339525" cy="27458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data">
        <xdr:nvPicPr>
          <xdr:cNvPr id="3074" name="Graphic 3073" descr="Repeat outline">
            <a:extLst>
              <a:ext uri="{FF2B5EF4-FFF2-40B4-BE49-F238E27FC236}">
                <a16:creationId xmlns:a16="http://schemas.microsoft.com/office/drawing/2014/main" id="{1C206AE4-3063-5E7E-DC8D-58A6DFF1919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004649" y="912435"/>
            <a:ext cx="218203" cy="216650"/>
          </a:xfrm>
          <a:prstGeom prst="rect">
            <a:avLst/>
          </a:prstGeom>
        </xdr:spPr>
      </xdr:pic>
    </xdr:grpSp>
    <xdr:clientData/>
  </xdr:twoCellAnchor>
  <xdr:twoCellAnchor>
    <xdr:from>
      <xdr:col>1</xdr:col>
      <xdr:colOff>35858</xdr:colOff>
      <xdr:row>1</xdr:row>
      <xdr:rowOff>0</xdr:rowOff>
    </xdr:from>
    <xdr:to>
      <xdr:col>1</xdr:col>
      <xdr:colOff>398509</xdr:colOff>
      <xdr:row>1</xdr:row>
      <xdr:rowOff>271628</xdr:rowOff>
    </xdr:to>
    <xdr:grpSp>
      <xdr:nvGrpSpPr>
        <xdr:cNvPr id="3075" name="Group 3074">
          <a:hlinkClick xmlns:r="http://schemas.openxmlformats.org/officeDocument/2006/relationships" r:id="rId5" tooltip="Go Back to Learner's Information"/>
          <a:extLst>
            <a:ext uri="{FF2B5EF4-FFF2-40B4-BE49-F238E27FC236}">
              <a16:creationId xmlns:a16="http://schemas.microsoft.com/office/drawing/2014/main" id="{EB76202F-7CA0-4739-B240-03B18B69D5D1}"/>
            </a:ext>
          </a:extLst>
        </xdr:cNvPr>
        <xdr:cNvGrpSpPr/>
      </xdr:nvGrpSpPr>
      <xdr:grpSpPr>
        <a:xfrm>
          <a:off x="116540" y="143435"/>
          <a:ext cx="362651" cy="271628"/>
          <a:chOff x="13788825" y="843442"/>
          <a:chExt cx="341964" cy="271284"/>
        </a:xfrm>
      </xdr:grpSpPr>
      <xdr:sp macro="" textlink="">
        <xdr:nvSpPr>
          <xdr:cNvPr id="3076" name="Rectangle 3075">
            <a:extLst>
              <a:ext uri="{FF2B5EF4-FFF2-40B4-BE49-F238E27FC236}">
                <a16:creationId xmlns:a16="http://schemas.microsoft.com/office/drawing/2014/main" id="{C70DEEBC-ED49-64AE-4721-70FBB7D00D35}"/>
              </a:ext>
            </a:extLst>
          </xdr:cNvPr>
          <xdr:cNvSpPr/>
        </xdr:nvSpPr>
        <xdr:spPr>
          <a:xfrm>
            <a:off x="13788825" y="843442"/>
            <a:ext cx="341964"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77" name="Graphic 3076" descr="Back outline">
            <a:extLst>
              <a:ext uri="{FF2B5EF4-FFF2-40B4-BE49-F238E27FC236}">
                <a16:creationId xmlns:a16="http://schemas.microsoft.com/office/drawing/2014/main" id="{58C157B7-1024-1339-032D-CA29604D836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850707" y="864897"/>
            <a:ext cx="218201" cy="216650"/>
          </a:xfrm>
          <a:prstGeom prst="rect">
            <a:avLst/>
          </a:prstGeom>
        </xdr:spPr>
      </xdr:pic>
    </xdr:grpSp>
    <xdr:clientData/>
  </xdr:twoCellAnchor>
  <xdr:twoCellAnchor>
    <xdr:from>
      <xdr:col>1</xdr:col>
      <xdr:colOff>448331</xdr:colOff>
      <xdr:row>1</xdr:row>
      <xdr:rowOff>0</xdr:rowOff>
    </xdr:from>
    <xdr:to>
      <xdr:col>2</xdr:col>
      <xdr:colOff>115078</xdr:colOff>
      <xdr:row>1</xdr:row>
      <xdr:rowOff>271628</xdr:rowOff>
    </xdr:to>
    <xdr:grpSp>
      <xdr:nvGrpSpPr>
        <xdr:cNvPr id="3078" name="Group 3077">
          <a:hlinkClick xmlns:r="http://schemas.openxmlformats.org/officeDocument/2006/relationships" r:id="rId8" tooltip="Go Forward to Page 2"/>
          <a:extLst>
            <a:ext uri="{FF2B5EF4-FFF2-40B4-BE49-F238E27FC236}">
              <a16:creationId xmlns:a16="http://schemas.microsoft.com/office/drawing/2014/main" id="{A185F2A3-61DC-4785-9BB8-3E5C38805E95}"/>
            </a:ext>
          </a:extLst>
        </xdr:cNvPr>
        <xdr:cNvGrpSpPr/>
      </xdr:nvGrpSpPr>
      <xdr:grpSpPr>
        <a:xfrm>
          <a:off x="529013" y="143435"/>
          <a:ext cx="365994" cy="271628"/>
          <a:chOff x="14282831" y="1456004"/>
          <a:chExt cx="341168" cy="271284"/>
        </a:xfrm>
      </xdr:grpSpPr>
      <xdr:sp macro="" textlink="">
        <xdr:nvSpPr>
          <xdr:cNvPr id="3079" name="Rectangle 3078">
            <a:extLst>
              <a:ext uri="{FF2B5EF4-FFF2-40B4-BE49-F238E27FC236}">
                <a16:creationId xmlns:a16="http://schemas.microsoft.com/office/drawing/2014/main" id="{AC001B26-0A1A-123D-45F3-FD031AB7456D}"/>
              </a:ext>
            </a:extLst>
          </xdr:cNvPr>
          <xdr:cNvSpPr/>
        </xdr:nvSpPr>
        <xdr:spPr>
          <a:xfrm>
            <a:off x="14282831" y="1456004"/>
            <a:ext cx="341168"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80" name="Graphic 3079" descr="Back outline">
            <a:extLst>
              <a:ext uri="{FF2B5EF4-FFF2-40B4-BE49-F238E27FC236}">
                <a16:creationId xmlns:a16="http://schemas.microsoft.com/office/drawing/2014/main" id="{92A25416-84EF-FEC5-30E9-FC74B612230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4347261" y="1477631"/>
            <a:ext cx="212309" cy="216306"/>
          </a:xfrm>
          <a:prstGeom prst="rect">
            <a:avLst/>
          </a:prstGeom>
        </xdr:spPr>
      </xdr:pic>
    </xdr:grpSp>
    <xdr:clientData/>
  </xdr:twoCellAnchor>
  <xdr:twoCellAnchor>
    <xdr:from>
      <xdr:col>26</xdr:col>
      <xdr:colOff>110134</xdr:colOff>
      <xdr:row>1</xdr:row>
      <xdr:rowOff>0</xdr:rowOff>
    </xdr:from>
    <xdr:to>
      <xdr:col>27</xdr:col>
      <xdr:colOff>0</xdr:colOff>
      <xdr:row>1</xdr:row>
      <xdr:rowOff>268056</xdr:rowOff>
    </xdr:to>
    <xdr:grpSp>
      <xdr:nvGrpSpPr>
        <xdr:cNvPr id="3084" name="Group 3083">
          <a:extLst>
            <a:ext uri="{FF2B5EF4-FFF2-40B4-BE49-F238E27FC236}">
              <a16:creationId xmlns:a16="http://schemas.microsoft.com/office/drawing/2014/main" id="{3C2DEBA9-D085-4AED-9BB3-689EF7A9C847}"/>
            </a:ext>
          </a:extLst>
        </xdr:cNvPr>
        <xdr:cNvGrpSpPr/>
      </xdr:nvGrpSpPr>
      <xdr:grpSpPr>
        <a:xfrm>
          <a:off x="12230416" y="143435"/>
          <a:ext cx="364996" cy="268056"/>
          <a:chOff x="13158867" y="1095823"/>
          <a:chExt cx="341964" cy="267712"/>
        </a:xfrm>
      </xdr:grpSpPr>
      <xdr:sp macro="[0]!print_sf9_frontpage" textlink="">
        <xdr:nvSpPr>
          <xdr:cNvPr id="3085" name="Rectangle 3084">
            <a:extLst>
              <a:ext uri="{FF2B5EF4-FFF2-40B4-BE49-F238E27FC236}">
                <a16:creationId xmlns:a16="http://schemas.microsoft.com/office/drawing/2014/main" id="{EDE4E8A5-EE16-9DC5-791F-CF91415547EB}"/>
              </a:ext>
            </a:extLst>
          </xdr:cNvPr>
          <xdr:cNvSpPr/>
        </xdr:nvSpPr>
        <xdr:spPr>
          <a:xfrm>
            <a:off x="13158867" y="1095823"/>
            <a:ext cx="341964" cy="26771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int_sf9_frontpage">
        <xdr:nvPicPr>
          <xdr:cNvPr id="3086" name="Graphic 3085" descr="Fax outline">
            <a:extLst>
              <a:ext uri="{FF2B5EF4-FFF2-40B4-BE49-F238E27FC236}">
                <a16:creationId xmlns:a16="http://schemas.microsoft.com/office/drawing/2014/main" id="{AB4CC04D-CB37-650E-8778-6B72323E59E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221756" y="1112966"/>
            <a:ext cx="216187" cy="233427"/>
          </a:xfrm>
          <a:prstGeom prst="rect">
            <a:avLst/>
          </a:prstGeom>
        </xdr:spPr>
      </xdr:pic>
    </xdr:grpSp>
    <xdr:clientData/>
  </xdr:twoCellAnchor>
  <xdr:twoCellAnchor>
    <xdr:from>
      <xdr:col>25</xdr:col>
      <xdr:colOff>307359</xdr:colOff>
      <xdr:row>1</xdr:row>
      <xdr:rowOff>0</xdr:rowOff>
    </xdr:from>
    <xdr:to>
      <xdr:col>26</xdr:col>
      <xdr:colOff>62755</xdr:colOff>
      <xdr:row>1</xdr:row>
      <xdr:rowOff>268056</xdr:rowOff>
    </xdr:to>
    <xdr:grpSp>
      <xdr:nvGrpSpPr>
        <xdr:cNvPr id="3092" name="Group 3091">
          <a:hlinkClick xmlns:r="http://schemas.openxmlformats.org/officeDocument/2006/relationships" r:id="rId13" tooltip="Save a Copy"/>
          <a:extLst>
            <a:ext uri="{FF2B5EF4-FFF2-40B4-BE49-F238E27FC236}">
              <a16:creationId xmlns:a16="http://schemas.microsoft.com/office/drawing/2014/main" id="{F90B9523-99DB-9C63-24A5-CBC80A84F8C9}"/>
            </a:ext>
          </a:extLst>
        </xdr:cNvPr>
        <xdr:cNvGrpSpPr/>
      </xdr:nvGrpSpPr>
      <xdr:grpSpPr>
        <a:xfrm>
          <a:off x="11818041" y="143435"/>
          <a:ext cx="364996" cy="268056"/>
          <a:chOff x="13827365" y="995082"/>
          <a:chExt cx="364996" cy="268056"/>
        </a:xfrm>
      </xdr:grpSpPr>
      <xdr:sp macro="" textlink="">
        <xdr:nvSpPr>
          <xdr:cNvPr id="3088" name="Rectangle 3087">
            <a:extLst>
              <a:ext uri="{FF2B5EF4-FFF2-40B4-BE49-F238E27FC236}">
                <a16:creationId xmlns:a16="http://schemas.microsoft.com/office/drawing/2014/main" id="{6CB68E46-F7E6-2F09-C295-123C461511F0}"/>
              </a:ext>
            </a:extLst>
          </xdr:cNvPr>
          <xdr:cNvSpPr/>
        </xdr:nvSpPr>
        <xdr:spPr>
          <a:xfrm>
            <a:off x="13827365" y="995082"/>
            <a:ext cx="364996" cy="268056"/>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91" name="Graphic 3090" descr="Download outline">
            <a:extLst>
              <a:ext uri="{FF2B5EF4-FFF2-40B4-BE49-F238E27FC236}">
                <a16:creationId xmlns:a16="http://schemas.microsoft.com/office/drawing/2014/main" id="{2C8FFCA8-7776-5802-DB3A-A72EFADA940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881847" y="1001094"/>
            <a:ext cx="256032" cy="256032"/>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35858</xdr:colOff>
      <xdr:row>3</xdr:row>
      <xdr:rowOff>0</xdr:rowOff>
    </xdr:from>
    <xdr:to>
      <xdr:col>9</xdr:col>
      <xdr:colOff>35859</xdr:colOff>
      <xdr:row>4</xdr:row>
      <xdr:rowOff>170328</xdr:rowOff>
    </xdr:to>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2528047" y="537881"/>
          <a:ext cx="4589929" cy="358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US" sz="1050" b="1">
              <a:latin typeface="Times New Roman" panose="02020603050405020304" pitchFamily="18" charset="0"/>
              <a:cs typeface="Times New Roman" panose="02020603050405020304" pitchFamily="18" charset="0"/>
            </a:rPr>
            <a:t>REPORT ON LEARNING PROGRESS AND ACHIEVEMENT</a:t>
          </a:r>
        </a:p>
      </xdr:txBody>
    </xdr:sp>
    <xdr:clientData/>
  </xdr:twoCellAnchor>
  <xdr:twoCellAnchor editAs="absolute">
    <xdr:from>
      <xdr:col>11</xdr:col>
      <xdr:colOff>89643</xdr:colOff>
      <xdr:row>3</xdr:row>
      <xdr:rowOff>38100</xdr:rowOff>
    </xdr:from>
    <xdr:to>
      <xdr:col>17</xdr:col>
      <xdr:colOff>242043</xdr:colOff>
      <xdr:row>5</xdr:row>
      <xdr:rowOff>41686</xdr:rowOff>
    </xdr:to>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8157878" y="656665"/>
          <a:ext cx="4401671" cy="3801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US" sz="1050" b="1">
              <a:latin typeface="Times New Roman" panose="02020603050405020304" pitchFamily="18" charset="0"/>
              <a:cs typeface="Times New Roman" panose="02020603050405020304" pitchFamily="18" charset="0"/>
            </a:rPr>
            <a:t>REPORT</a:t>
          </a:r>
          <a:r>
            <a:rPr lang="en-US" sz="1050" b="1" baseline="0">
              <a:latin typeface="Times New Roman" panose="02020603050405020304" pitchFamily="18" charset="0"/>
              <a:cs typeface="Times New Roman" panose="02020603050405020304" pitchFamily="18" charset="0"/>
            </a:rPr>
            <a:t> ON LEARNER'S OBERVED VALUES</a:t>
          </a:r>
          <a:endParaRPr lang="en-US" sz="1050" b="1">
            <a:latin typeface="Times New Roman" panose="02020603050405020304" pitchFamily="18" charset="0"/>
            <a:cs typeface="Times New Roman" panose="02020603050405020304" pitchFamily="18" charset="0"/>
          </a:endParaRPr>
        </a:p>
      </xdr:txBody>
    </xdr:sp>
    <xdr:clientData/>
  </xdr:twoCellAnchor>
  <xdr:twoCellAnchor editAs="absolute">
    <xdr:from>
      <xdr:col>11</xdr:col>
      <xdr:colOff>26892</xdr:colOff>
      <xdr:row>6</xdr:row>
      <xdr:rowOff>0</xdr:rowOff>
    </xdr:from>
    <xdr:to>
      <xdr:col>18</xdr:col>
      <xdr:colOff>26892</xdr:colOff>
      <xdr:row>7</xdr:row>
      <xdr:rowOff>120595</xdr:rowOff>
    </xdr:to>
    <xdr:grpSp>
      <xdr:nvGrpSpPr>
        <xdr:cNvPr id="101" name="Group 100">
          <a:extLst>
            <a:ext uri="{FF2B5EF4-FFF2-40B4-BE49-F238E27FC236}">
              <a16:creationId xmlns:a16="http://schemas.microsoft.com/office/drawing/2014/main" id="{00000000-0008-0000-0400-000065000000}"/>
            </a:ext>
          </a:extLst>
        </xdr:cNvPr>
        <xdr:cNvGrpSpPr/>
      </xdr:nvGrpSpPr>
      <xdr:grpSpPr>
        <a:xfrm>
          <a:off x="8095127" y="1165412"/>
          <a:ext cx="4527177" cy="299889"/>
          <a:chOff x="7536180" y="1120140"/>
          <a:chExt cx="4511040" cy="364435"/>
        </a:xfrm>
      </xdr:grpSpPr>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7536180" y="1120141"/>
            <a:ext cx="1112520" cy="364434"/>
          </a:xfrm>
          <a:prstGeom prst="rect">
            <a:avLst/>
          </a:prstGeom>
          <a:solidFill>
            <a:schemeClr val="bg1">
              <a:lumMod val="75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000" b="1">
                <a:latin typeface="Times New Roman" panose="02020603050405020304" pitchFamily="18" charset="0"/>
                <a:cs typeface="Times New Roman" panose="02020603050405020304" pitchFamily="18" charset="0"/>
              </a:rPr>
              <a:t>Core</a:t>
            </a:r>
            <a:r>
              <a:rPr lang="en-US" sz="1000" b="1" baseline="0">
                <a:latin typeface="Times New Roman" panose="02020603050405020304" pitchFamily="18" charset="0"/>
                <a:cs typeface="Times New Roman" panose="02020603050405020304" pitchFamily="18" charset="0"/>
              </a:rPr>
              <a:t> Values</a:t>
            </a:r>
            <a:endParaRPr lang="en-US" sz="1000" b="1">
              <a:latin typeface="Times New Roman" panose="02020603050405020304" pitchFamily="18" charset="0"/>
              <a:cs typeface="Times New Roman" panose="02020603050405020304" pitchFamily="18" charset="0"/>
            </a:endParaRPr>
          </a:p>
        </xdr:txBody>
      </xdr:sp>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8648700" y="1120140"/>
            <a:ext cx="2301240" cy="364434"/>
          </a:xfrm>
          <a:prstGeom prst="rect">
            <a:avLst/>
          </a:prstGeom>
          <a:solidFill>
            <a:schemeClr val="bg1">
              <a:lumMod val="75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000" b="1">
                <a:latin typeface="Times New Roman" panose="02020603050405020304" pitchFamily="18" charset="0"/>
                <a:cs typeface="Times New Roman" panose="02020603050405020304" pitchFamily="18" charset="0"/>
              </a:rPr>
              <a:t>Behavior</a:t>
            </a:r>
            <a:r>
              <a:rPr lang="en-US" sz="1000" b="1" baseline="0">
                <a:latin typeface="Times New Roman" panose="02020603050405020304" pitchFamily="18" charset="0"/>
                <a:cs typeface="Times New Roman" panose="02020603050405020304" pitchFamily="18" charset="0"/>
              </a:rPr>
              <a:t> Statements</a:t>
            </a:r>
            <a:endParaRPr lang="en-US" sz="1000" b="1">
              <a:latin typeface="Times New Roman" panose="02020603050405020304" pitchFamily="18" charset="0"/>
              <a:cs typeface="Times New Roman" panose="02020603050405020304" pitchFamily="18" charset="0"/>
            </a:endParaRPr>
          </a:p>
        </xdr:txBody>
      </xdr:sp>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10949940" y="1120140"/>
            <a:ext cx="1097280" cy="198783"/>
          </a:xfrm>
          <a:prstGeom prst="rect">
            <a:avLst/>
          </a:prstGeom>
          <a:solidFill>
            <a:schemeClr val="bg1">
              <a:lumMod val="75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000" b="1">
                <a:latin typeface="Times New Roman" panose="02020603050405020304" pitchFamily="18" charset="0"/>
                <a:cs typeface="Times New Roman" panose="02020603050405020304" pitchFamily="18" charset="0"/>
              </a:rPr>
              <a:t>QUARTERS</a:t>
            </a:r>
          </a:p>
        </xdr:txBody>
      </xdr:sp>
      <xdr:sp macro="" textlink="">
        <xdr:nvSpPr>
          <xdr:cNvPr id="46" name="TextBox 45">
            <a:extLst>
              <a:ext uri="{FF2B5EF4-FFF2-40B4-BE49-F238E27FC236}">
                <a16:creationId xmlns:a16="http://schemas.microsoft.com/office/drawing/2014/main" id="{00000000-0008-0000-0400-00002E000000}"/>
              </a:ext>
            </a:extLst>
          </xdr:cNvPr>
          <xdr:cNvSpPr txBox="1"/>
        </xdr:nvSpPr>
        <xdr:spPr>
          <a:xfrm>
            <a:off x="10949940" y="1318924"/>
            <a:ext cx="274320" cy="16565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b="1">
                <a:solidFill>
                  <a:schemeClr val="tx1"/>
                </a:solidFill>
                <a:effectLst/>
                <a:latin typeface="Times New Roman" panose="02020603050405020304" pitchFamily="18" charset="0"/>
                <a:ea typeface="+mn-ea"/>
                <a:cs typeface="Times New Roman" panose="02020603050405020304" pitchFamily="18" charset="0"/>
              </a:rPr>
              <a:t>1</a:t>
            </a:r>
          </a:p>
        </xdr:txBody>
      </xdr:sp>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224260" y="1318924"/>
            <a:ext cx="274320" cy="16565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b="1">
                <a:solidFill>
                  <a:schemeClr val="tx1"/>
                </a:solidFill>
                <a:effectLst/>
                <a:latin typeface="Times New Roman" panose="02020603050405020304" pitchFamily="18" charset="0"/>
                <a:ea typeface="+mn-ea"/>
                <a:cs typeface="Times New Roman" panose="02020603050405020304" pitchFamily="18" charset="0"/>
              </a:rPr>
              <a:t>2</a:t>
            </a:r>
          </a:p>
        </xdr:txBody>
      </xdr:sp>
      <xdr:sp macro="" textlink="">
        <xdr:nvSpPr>
          <xdr:cNvPr id="49" name="TextBox 48">
            <a:extLst>
              <a:ext uri="{FF2B5EF4-FFF2-40B4-BE49-F238E27FC236}">
                <a16:creationId xmlns:a16="http://schemas.microsoft.com/office/drawing/2014/main" id="{00000000-0008-0000-0400-000031000000}"/>
              </a:ext>
            </a:extLst>
          </xdr:cNvPr>
          <xdr:cNvSpPr txBox="1"/>
        </xdr:nvSpPr>
        <xdr:spPr>
          <a:xfrm>
            <a:off x="11498580" y="1317599"/>
            <a:ext cx="274320" cy="16565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b="1">
                <a:solidFill>
                  <a:schemeClr val="tx1"/>
                </a:solidFill>
                <a:effectLst/>
                <a:latin typeface="Times New Roman" panose="02020603050405020304" pitchFamily="18" charset="0"/>
                <a:ea typeface="+mn-ea"/>
                <a:cs typeface="Times New Roman" panose="02020603050405020304" pitchFamily="18" charset="0"/>
              </a:rPr>
              <a:t>3</a:t>
            </a:r>
          </a:p>
        </xdr:txBody>
      </xdr:sp>
      <xdr:sp macro="" textlink="">
        <xdr:nvSpPr>
          <xdr:cNvPr id="50" name="TextBox 49">
            <a:extLst>
              <a:ext uri="{FF2B5EF4-FFF2-40B4-BE49-F238E27FC236}">
                <a16:creationId xmlns:a16="http://schemas.microsoft.com/office/drawing/2014/main" id="{00000000-0008-0000-0400-000032000000}"/>
              </a:ext>
            </a:extLst>
          </xdr:cNvPr>
          <xdr:cNvSpPr txBox="1"/>
        </xdr:nvSpPr>
        <xdr:spPr>
          <a:xfrm>
            <a:off x="11772900" y="1317600"/>
            <a:ext cx="274320" cy="16565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b="1">
                <a:solidFill>
                  <a:schemeClr val="tx1"/>
                </a:solidFill>
                <a:effectLst/>
                <a:latin typeface="Times New Roman" panose="02020603050405020304" pitchFamily="18" charset="0"/>
                <a:ea typeface="+mn-ea"/>
                <a:cs typeface="Times New Roman" panose="02020603050405020304" pitchFamily="18" charset="0"/>
              </a:rPr>
              <a:t>4</a:t>
            </a:r>
          </a:p>
        </xdr:txBody>
      </xdr:sp>
    </xdr:grpSp>
    <xdr:clientData/>
  </xdr:twoCellAnchor>
  <xdr:twoCellAnchor editAs="absolute">
    <xdr:from>
      <xdr:col>11</xdr:col>
      <xdr:colOff>26892</xdr:colOff>
      <xdr:row>7</xdr:row>
      <xdr:rowOff>119270</xdr:rowOff>
    </xdr:from>
    <xdr:to>
      <xdr:col>18</xdr:col>
      <xdr:colOff>26892</xdr:colOff>
      <xdr:row>22</xdr:row>
      <xdr:rowOff>53788</xdr:rowOff>
    </xdr:to>
    <xdr:grpSp>
      <xdr:nvGrpSpPr>
        <xdr:cNvPr id="98" name="Group 97">
          <a:extLst>
            <a:ext uri="{FF2B5EF4-FFF2-40B4-BE49-F238E27FC236}">
              <a16:creationId xmlns:a16="http://schemas.microsoft.com/office/drawing/2014/main" id="{00000000-0008-0000-0400-000062000000}"/>
            </a:ext>
          </a:extLst>
        </xdr:cNvPr>
        <xdr:cNvGrpSpPr/>
      </xdr:nvGrpSpPr>
      <xdr:grpSpPr>
        <a:xfrm>
          <a:off x="8095127" y="1463976"/>
          <a:ext cx="4527177" cy="3081130"/>
          <a:chOff x="7536180" y="1483250"/>
          <a:chExt cx="4511040" cy="2783950"/>
        </a:xfrm>
      </xdr:grpSpPr>
      <xdr:sp macro="" textlink="">
        <xdr:nvSpPr>
          <xdr:cNvPr id="42" name="TextBox 41">
            <a:extLst>
              <a:ext uri="{FF2B5EF4-FFF2-40B4-BE49-F238E27FC236}">
                <a16:creationId xmlns:a16="http://schemas.microsoft.com/office/drawing/2014/main" id="{00000000-0008-0000-0400-00002A000000}"/>
              </a:ext>
            </a:extLst>
          </xdr:cNvPr>
          <xdr:cNvSpPr txBox="1"/>
        </xdr:nvSpPr>
        <xdr:spPr>
          <a:xfrm>
            <a:off x="7536180" y="1483250"/>
            <a:ext cx="1112520" cy="77989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1. Maka-Diyos</a:t>
            </a:r>
          </a:p>
        </xdr:txBody>
      </xdr:sp>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8648700" y="1483251"/>
            <a:ext cx="2301240" cy="44460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Expresses one's spiritual belief's while respecting the spiritual    beliefs of            others</a:t>
            </a:r>
          </a:p>
        </xdr:txBody>
      </xdr:sp>
      <xdr:sp macro="" textlink="">
        <xdr:nvSpPr>
          <xdr:cNvPr id="45" name="TextBox 44">
            <a:extLst>
              <a:ext uri="{FF2B5EF4-FFF2-40B4-BE49-F238E27FC236}">
                <a16:creationId xmlns:a16="http://schemas.microsoft.com/office/drawing/2014/main" id="{00000000-0008-0000-0400-00002D000000}"/>
              </a:ext>
            </a:extLst>
          </xdr:cNvPr>
          <xdr:cNvSpPr txBox="1"/>
        </xdr:nvSpPr>
        <xdr:spPr>
          <a:xfrm>
            <a:off x="8648700" y="1927860"/>
            <a:ext cx="230124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Shows adherence to ethical</a:t>
            </a:r>
            <a:r>
              <a:rPr lang="en-PH" sz="1000" baseline="0">
                <a:solidFill>
                  <a:schemeClr val="tx1"/>
                </a:solidFill>
                <a:effectLst/>
                <a:latin typeface="Times New Roman" panose="02020603050405020304" pitchFamily="18" charset="0"/>
                <a:ea typeface="+mn-ea"/>
                <a:cs typeface="Times New Roman" panose="02020603050405020304" pitchFamily="18" charset="0"/>
              </a:rPr>
              <a:t> </a:t>
            </a:r>
            <a:r>
              <a:rPr lang="en-PH" sz="1000">
                <a:solidFill>
                  <a:schemeClr val="tx1"/>
                </a:solidFill>
                <a:effectLst/>
                <a:latin typeface="Times New Roman" panose="02020603050405020304" pitchFamily="18" charset="0"/>
                <a:ea typeface="+mn-ea"/>
                <a:cs typeface="Times New Roman" panose="02020603050405020304" pitchFamily="18" charset="0"/>
              </a:rPr>
              <a:t>principles by upholding truth</a:t>
            </a:r>
          </a:p>
        </xdr:txBody>
      </xdr:sp>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10949940" y="1483250"/>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2" name="TextBox 51">
            <a:extLst>
              <a:ext uri="{FF2B5EF4-FFF2-40B4-BE49-F238E27FC236}">
                <a16:creationId xmlns:a16="http://schemas.microsoft.com/office/drawing/2014/main" id="{00000000-0008-0000-0400-000034000000}"/>
              </a:ext>
            </a:extLst>
          </xdr:cNvPr>
          <xdr:cNvSpPr txBox="1"/>
        </xdr:nvSpPr>
        <xdr:spPr>
          <a:xfrm>
            <a:off x="11224260" y="1483250"/>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11498580" y="1484575"/>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1772900" y="1483250"/>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5" name="TextBox 54">
            <a:extLst>
              <a:ext uri="{FF2B5EF4-FFF2-40B4-BE49-F238E27FC236}">
                <a16:creationId xmlns:a16="http://schemas.microsoft.com/office/drawing/2014/main" id="{00000000-0008-0000-0400-000037000000}"/>
              </a:ext>
            </a:extLst>
          </xdr:cNvPr>
          <xdr:cNvSpPr txBox="1"/>
        </xdr:nvSpPr>
        <xdr:spPr>
          <a:xfrm>
            <a:off x="10949940" y="192786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6" name="TextBox 55">
            <a:extLst>
              <a:ext uri="{FF2B5EF4-FFF2-40B4-BE49-F238E27FC236}">
                <a16:creationId xmlns:a16="http://schemas.microsoft.com/office/drawing/2014/main" id="{00000000-0008-0000-0400-000038000000}"/>
              </a:ext>
            </a:extLst>
          </xdr:cNvPr>
          <xdr:cNvSpPr txBox="1"/>
        </xdr:nvSpPr>
        <xdr:spPr>
          <a:xfrm>
            <a:off x="11224260" y="192786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1498580" y="192786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11772900" y="192786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7536180" y="2263139"/>
            <a:ext cx="1112520" cy="67056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2. Makatao</a:t>
            </a:r>
          </a:p>
        </xdr:txBody>
      </xdr:sp>
      <xdr:sp macro="" textlink="">
        <xdr:nvSpPr>
          <xdr:cNvPr id="60" name="TextBox 59">
            <a:extLst>
              <a:ext uri="{FF2B5EF4-FFF2-40B4-BE49-F238E27FC236}">
                <a16:creationId xmlns:a16="http://schemas.microsoft.com/office/drawing/2014/main" id="{00000000-0008-0000-0400-00003C000000}"/>
              </a:ext>
            </a:extLst>
          </xdr:cNvPr>
          <xdr:cNvSpPr txBox="1"/>
        </xdr:nvSpPr>
        <xdr:spPr>
          <a:xfrm>
            <a:off x="8648700" y="2263140"/>
            <a:ext cx="2301240" cy="338328"/>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Is sensitive to individual, social, and cultural differences</a:t>
            </a:r>
          </a:p>
        </xdr:txBody>
      </xdr:sp>
      <xdr:sp macro="" textlink="">
        <xdr:nvSpPr>
          <xdr:cNvPr id="61" name="TextBox 60">
            <a:extLst>
              <a:ext uri="{FF2B5EF4-FFF2-40B4-BE49-F238E27FC236}">
                <a16:creationId xmlns:a16="http://schemas.microsoft.com/office/drawing/2014/main" id="{00000000-0008-0000-0400-00003D000000}"/>
              </a:ext>
            </a:extLst>
          </xdr:cNvPr>
          <xdr:cNvSpPr txBox="1"/>
        </xdr:nvSpPr>
        <xdr:spPr>
          <a:xfrm>
            <a:off x="8648700" y="2598420"/>
            <a:ext cx="230124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Demonstrates contributions toward      solidarity</a:t>
            </a:r>
          </a:p>
        </xdr:txBody>
      </xdr:sp>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10949940" y="2263139"/>
            <a:ext cx="274320" cy="33832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1224260" y="2263139"/>
            <a:ext cx="274320" cy="33832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1498580" y="2263140"/>
            <a:ext cx="274320" cy="339654"/>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5" name="TextBox 64">
            <a:extLst>
              <a:ext uri="{FF2B5EF4-FFF2-40B4-BE49-F238E27FC236}">
                <a16:creationId xmlns:a16="http://schemas.microsoft.com/office/drawing/2014/main" id="{00000000-0008-0000-0400-000041000000}"/>
              </a:ext>
            </a:extLst>
          </xdr:cNvPr>
          <xdr:cNvSpPr txBox="1"/>
        </xdr:nvSpPr>
        <xdr:spPr>
          <a:xfrm>
            <a:off x="11772900" y="2263139"/>
            <a:ext cx="274320" cy="33832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10949940" y="259842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7" name="TextBox 66">
            <a:extLst>
              <a:ext uri="{FF2B5EF4-FFF2-40B4-BE49-F238E27FC236}">
                <a16:creationId xmlns:a16="http://schemas.microsoft.com/office/drawing/2014/main" id="{00000000-0008-0000-0400-000043000000}"/>
              </a:ext>
            </a:extLst>
          </xdr:cNvPr>
          <xdr:cNvSpPr txBox="1"/>
        </xdr:nvSpPr>
        <xdr:spPr>
          <a:xfrm>
            <a:off x="11224260" y="259842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8" name="TextBox 67">
            <a:extLst>
              <a:ext uri="{FF2B5EF4-FFF2-40B4-BE49-F238E27FC236}">
                <a16:creationId xmlns:a16="http://schemas.microsoft.com/office/drawing/2014/main" id="{00000000-0008-0000-0400-000044000000}"/>
              </a:ext>
            </a:extLst>
          </xdr:cNvPr>
          <xdr:cNvSpPr txBox="1"/>
        </xdr:nvSpPr>
        <xdr:spPr>
          <a:xfrm>
            <a:off x="11498580" y="259842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9" name="TextBox 68">
            <a:extLst>
              <a:ext uri="{FF2B5EF4-FFF2-40B4-BE49-F238E27FC236}">
                <a16:creationId xmlns:a16="http://schemas.microsoft.com/office/drawing/2014/main" id="{00000000-0008-0000-0400-000045000000}"/>
              </a:ext>
            </a:extLst>
          </xdr:cNvPr>
          <xdr:cNvSpPr txBox="1"/>
        </xdr:nvSpPr>
        <xdr:spPr>
          <a:xfrm>
            <a:off x="11772900" y="259842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0" name="TextBox 69">
            <a:extLst>
              <a:ext uri="{FF2B5EF4-FFF2-40B4-BE49-F238E27FC236}">
                <a16:creationId xmlns:a16="http://schemas.microsoft.com/office/drawing/2014/main" id="{00000000-0008-0000-0400-000046000000}"/>
              </a:ext>
            </a:extLst>
          </xdr:cNvPr>
          <xdr:cNvSpPr txBox="1"/>
        </xdr:nvSpPr>
        <xdr:spPr>
          <a:xfrm>
            <a:off x="7536180" y="2933699"/>
            <a:ext cx="1112520" cy="448057"/>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3. Maka</a:t>
            </a:r>
            <a:r>
              <a:rPr lang="en-PH" sz="1000" baseline="0">
                <a:solidFill>
                  <a:schemeClr val="tx1"/>
                </a:solidFill>
                <a:effectLst/>
                <a:latin typeface="Times New Roman" panose="02020603050405020304" pitchFamily="18" charset="0"/>
                <a:ea typeface="+mn-ea"/>
                <a:cs typeface="Times New Roman" panose="02020603050405020304" pitchFamily="18" charset="0"/>
              </a:rPr>
              <a:t> </a:t>
            </a:r>
            <a:r>
              <a:rPr lang="en-PH" sz="1000">
                <a:solidFill>
                  <a:schemeClr val="tx1"/>
                </a:solidFill>
                <a:effectLst/>
                <a:latin typeface="Times New Roman" panose="02020603050405020304" pitchFamily="18" charset="0"/>
                <a:ea typeface="+mn-ea"/>
                <a:cs typeface="Times New Roman" panose="02020603050405020304" pitchFamily="18" charset="0"/>
              </a:rPr>
              <a:t>kalikasan</a:t>
            </a:r>
          </a:p>
        </xdr:txBody>
      </xdr:sp>
      <xdr:sp macro="" textlink="">
        <xdr:nvSpPr>
          <xdr:cNvPr id="71" name="TextBox 70">
            <a:extLst>
              <a:ext uri="{FF2B5EF4-FFF2-40B4-BE49-F238E27FC236}">
                <a16:creationId xmlns:a16="http://schemas.microsoft.com/office/drawing/2014/main" id="{00000000-0008-0000-0400-000047000000}"/>
              </a:ext>
            </a:extLst>
          </xdr:cNvPr>
          <xdr:cNvSpPr txBox="1"/>
        </xdr:nvSpPr>
        <xdr:spPr>
          <a:xfrm>
            <a:off x="8648700" y="2933700"/>
            <a:ext cx="2301240" cy="448056"/>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Cares for the environment and  utilizes resources wisely, judiciously, and economically</a:t>
            </a:r>
          </a:p>
        </xdr:txBody>
      </xdr:sp>
      <xdr:sp macro="" textlink="">
        <xdr:nvSpPr>
          <xdr:cNvPr id="72" name="TextBox 71">
            <a:extLst>
              <a:ext uri="{FF2B5EF4-FFF2-40B4-BE49-F238E27FC236}">
                <a16:creationId xmlns:a16="http://schemas.microsoft.com/office/drawing/2014/main" id="{00000000-0008-0000-0400-000048000000}"/>
              </a:ext>
            </a:extLst>
          </xdr:cNvPr>
          <xdr:cNvSpPr txBox="1"/>
        </xdr:nvSpPr>
        <xdr:spPr>
          <a:xfrm>
            <a:off x="10949940" y="2933699"/>
            <a:ext cx="274320" cy="448057"/>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3" name="TextBox 72">
            <a:extLst>
              <a:ext uri="{FF2B5EF4-FFF2-40B4-BE49-F238E27FC236}">
                <a16:creationId xmlns:a16="http://schemas.microsoft.com/office/drawing/2014/main" id="{00000000-0008-0000-0400-000049000000}"/>
              </a:ext>
            </a:extLst>
          </xdr:cNvPr>
          <xdr:cNvSpPr txBox="1"/>
        </xdr:nvSpPr>
        <xdr:spPr>
          <a:xfrm>
            <a:off x="11224260" y="2933699"/>
            <a:ext cx="274320" cy="448057"/>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1498580" y="2933699"/>
            <a:ext cx="274321" cy="44762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5" name="TextBox 74">
            <a:extLst>
              <a:ext uri="{FF2B5EF4-FFF2-40B4-BE49-F238E27FC236}">
                <a16:creationId xmlns:a16="http://schemas.microsoft.com/office/drawing/2014/main" id="{00000000-0008-0000-0400-00004B000000}"/>
              </a:ext>
            </a:extLst>
          </xdr:cNvPr>
          <xdr:cNvSpPr txBox="1"/>
        </xdr:nvSpPr>
        <xdr:spPr>
          <a:xfrm>
            <a:off x="11772900" y="2933699"/>
            <a:ext cx="274320" cy="448057"/>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6" name="TextBox 75">
            <a:extLst>
              <a:ext uri="{FF2B5EF4-FFF2-40B4-BE49-F238E27FC236}">
                <a16:creationId xmlns:a16="http://schemas.microsoft.com/office/drawing/2014/main" id="{00000000-0008-0000-0400-00004C000000}"/>
              </a:ext>
            </a:extLst>
          </xdr:cNvPr>
          <xdr:cNvSpPr txBox="1"/>
        </xdr:nvSpPr>
        <xdr:spPr>
          <a:xfrm>
            <a:off x="7536180" y="3381326"/>
            <a:ext cx="1112520" cy="88587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4. Makabansa </a:t>
            </a:r>
          </a:p>
        </xdr:txBody>
      </xdr:sp>
      <xdr:sp macro="" textlink="">
        <xdr:nvSpPr>
          <xdr:cNvPr id="77" name="TextBox 76">
            <a:extLst>
              <a:ext uri="{FF2B5EF4-FFF2-40B4-BE49-F238E27FC236}">
                <a16:creationId xmlns:a16="http://schemas.microsoft.com/office/drawing/2014/main" id="{00000000-0008-0000-0400-00004D000000}"/>
              </a:ext>
            </a:extLst>
          </xdr:cNvPr>
          <xdr:cNvSpPr txBox="1"/>
        </xdr:nvSpPr>
        <xdr:spPr>
          <a:xfrm>
            <a:off x="8648700" y="3381328"/>
            <a:ext cx="2301240" cy="44460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 Demonstrates pride in being a   Filipino; exercises the rights and responsibilities of a Filipino</a:t>
            </a:r>
            <a:r>
              <a:rPr lang="en-PH" sz="1000" baseline="0">
                <a:solidFill>
                  <a:schemeClr val="tx1"/>
                </a:solidFill>
                <a:effectLst/>
                <a:latin typeface="Times New Roman" panose="02020603050405020304" pitchFamily="18" charset="0"/>
                <a:ea typeface="+mn-ea"/>
                <a:cs typeface="Times New Roman" panose="02020603050405020304" pitchFamily="18" charset="0"/>
              </a:rPr>
              <a:t> </a:t>
            </a:r>
            <a:r>
              <a:rPr lang="en-PH" sz="1000">
                <a:solidFill>
                  <a:schemeClr val="tx1"/>
                </a:solidFill>
                <a:effectLst/>
                <a:latin typeface="Times New Roman" panose="02020603050405020304" pitchFamily="18" charset="0"/>
                <a:ea typeface="+mn-ea"/>
                <a:cs typeface="Times New Roman" panose="02020603050405020304" pitchFamily="18" charset="0"/>
              </a:rPr>
              <a:t>citizen</a:t>
            </a:r>
          </a:p>
        </xdr:txBody>
      </xdr:sp>
      <xdr:sp macro="" textlink="">
        <xdr:nvSpPr>
          <xdr:cNvPr id="79" name="TextBox 78">
            <a:extLst>
              <a:ext uri="{FF2B5EF4-FFF2-40B4-BE49-F238E27FC236}">
                <a16:creationId xmlns:a16="http://schemas.microsoft.com/office/drawing/2014/main" id="{00000000-0008-0000-0400-00004F000000}"/>
              </a:ext>
            </a:extLst>
          </xdr:cNvPr>
          <xdr:cNvSpPr txBox="1"/>
        </xdr:nvSpPr>
        <xdr:spPr>
          <a:xfrm>
            <a:off x="10949940" y="3381327"/>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0" name="TextBox 79">
            <a:extLst>
              <a:ext uri="{FF2B5EF4-FFF2-40B4-BE49-F238E27FC236}">
                <a16:creationId xmlns:a16="http://schemas.microsoft.com/office/drawing/2014/main" id="{00000000-0008-0000-0400-000050000000}"/>
              </a:ext>
            </a:extLst>
          </xdr:cNvPr>
          <xdr:cNvSpPr txBox="1"/>
        </xdr:nvSpPr>
        <xdr:spPr>
          <a:xfrm>
            <a:off x="11224260" y="3381327"/>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1" name="TextBox 80">
            <a:extLst>
              <a:ext uri="{FF2B5EF4-FFF2-40B4-BE49-F238E27FC236}">
                <a16:creationId xmlns:a16="http://schemas.microsoft.com/office/drawing/2014/main" id="{00000000-0008-0000-0400-000051000000}"/>
              </a:ext>
            </a:extLst>
          </xdr:cNvPr>
          <xdr:cNvSpPr txBox="1"/>
        </xdr:nvSpPr>
        <xdr:spPr>
          <a:xfrm>
            <a:off x="11498580" y="3381326"/>
            <a:ext cx="274320" cy="445936"/>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2" name="TextBox 81">
            <a:extLst>
              <a:ext uri="{FF2B5EF4-FFF2-40B4-BE49-F238E27FC236}">
                <a16:creationId xmlns:a16="http://schemas.microsoft.com/office/drawing/2014/main" id="{00000000-0008-0000-0400-000052000000}"/>
              </a:ext>
            </a:extLst>
          </xdr:cNvPr>
          <xdr:cNvSpPr txBox="1"/>
        </xdr:nvSpPr>
        <xdr:spPr>
          <a:xfrm>
            <a:off x="11772900" y="3381327"/>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3" name="TextBox 82">
            <a:extLst>
              <a:ext uri="{FF2B5EF4-FFF2-40B4-BE49-F238E27FC236}">
                <a16:creationId xmlns:a16="http://schemas.microsoft.com/office/drawing/2014/main" id="{00000000-0008-0000-0400-000053000000}"/>
              </a:ext>
            </a:extLst>
          </xdr:cNvPr>
          <xdr:cNvSpPr txBox="1"/>
        </xdr:nvSpPr>
        <xdr:spPr>
          <a:xfrm>
            <a:off x="10949940" y="3825936"/>
            <a:ext cx="274320" cy="44126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11224260" y="3825936"/>
            <a:ext cx="274320" cy="44126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5" name="TextBox 84">
            <a:extLst>
              <a:ext uri="{FF2B5EF4-FFF2-40B4-BE49-F238E27FC236}">
                <a16:creationId xmlns:a16="http://schemas.microsoft.com/office/drawing/2014/main" id="{00000000-0008-0000-0400-000055000000}"/>
              </a:ext>
            </a:extLst>
          </xdr:cNvPr>
          <xdr:cNvSpPr txBox="1"/>
        </xdr:nvSpPr>
        <xdr:spPr>
          <a:xfrm>
            <a:off x="11498580" y="3825936"/>
            <a:ext cx="274320" cy="44126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11772900" y="3825936"/>
            <a:ext cx="274320" cy="44126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8" name="TextBox 87">
            <a:extLst>
              <a:ext uri="{FF2B5EF4-FFF2-40B4-BE49-F238E27FC236}">
                <a16:creationId xmlns:a16="http://schemas.microsoft.com/office/drawing/2014/main" id="{00000000-0008-0000-0400-000058000000}"/>
              </a:ext>
            </a:extLst>
          </xdr:cNvPr>
          <xdr:cNvSpPr txBox="1"/>
        </xdr:nvSpPr>
        <xdr:spPr>
          <a:xfrm>
            <a:off x="8648700" y="3822591"/>
            <a:ext cx="2301240" cy="44460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Demonstrates appropriate behavior in carrying out activities in the school, community, and country</a:t>
            </a:r>
          </a:p>
        </xdr:txBody>
      </xdr:sp>
    </xdr:grpSp>
    <xdr:clientData fLocksWithSheet="0"/>
  </xdr:twoCellAnchor>
  <xdr:twoCellAnchor editAs="absolute">
    <xdr:from>
      <xdr:col>11</xdr:col>
      <xdr:colOff>98612</xdr:colOff>
      <xdr:row>23</xdr:row>
      <xdr:rowOff>53789</xdr:rowOff>
    </xdr:from>
    <xdr:to>
      <xdr:col>13</xdr:col>
      <xdr:colOff>229048</xdr:colOff>
      <xdr:row>24</xdr:row>
      <xdr:rowOff>55582</xdr:rowOff>
    </xdr:to>
    <xdr:sp macro="" textlink="">
      <xdr:nvSpPr>
        <xdr:cNvPr id="89" name="TextBox 88">
          <a:extLst>
            <a:ext uri="{FF2B5EF4-FFF2-40B4-BE49-F238E27FC236}">
              <a16:creationId xmlns:a16="http://schemas.microsoft.com/office/drawing/2014/main" id="{00000000-0008-0000-0400-000059000000}"/>
            </a:ext>
          </a:extLst>
        </xdr:cNvPr>
        <xdr:cNvSpPr txBox="1"/>
      </xdr:nvSpPr>
      <xdr:spPr>
        <a:xfrm>
          <a:off x="7810500" y="4503421"/>
          <a:ext cx="1242060" cy="243840"/>
        </a:xfrm>
        <a:prstGeom prst="rect">
          <a:avLst/>
        </a:prstGeom>
        <a:solidFill>
          <a:schemeClr val="bg1"/>
        </a:solid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Observed</a:t>
          </a:r>
          <a:r>
            <a:rPr lang="en-PH" sz="1000" b="1" baseline="0">
              <a:solidFill>
                <a:schemeClr val="tx1"/>
              </a:solidFill>
              <a:effectLst/>
              <a:latin typeface="Times New Roman" panose="02020603050405020304" pitchFamily="18" charset="0"/>
              <a:ea typeface="+mn-ea"/>
              <a:cs typeface="Times New Roman" panose="02020603050405020304" pitchFamily="18" charset="0"/>
            </a:rPr>
            <a:t> Values</a:t>
          </a:r>
          <a:endParaRPr lang="en-PH" sz="1000" b="1">
            <a:solidFill>
              <a:schemeClr val="tx1"/>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12</xdr:col>
      <xdr:colOff>422462</xdr:colOff>
      <xdr:row>24</xdr:row>
      <xdr:rowOff>53790</xdr:rowOff>
    </xdr:from>
    <xdr:to>
      <xdr:col>13</xdr:col>
      <xdr:colOff>160244</xdr:colOff>
      <xdr:row>29</xdr:row>
      <xdr:rowOff>97267</xdr:rowOff>
    </xdr:to>
    <xdr:sp macro="" textlink="">
      <xdr:nvSpPr>
        <xdr:cNvPr id="90" name="TextBox 89">
          <a:extLst>
            <a:ext uri="{FF2B5EF4-FFF2-40B4-BE49-F238E27FC236}">
              <a16:creationId xmlns:a16="http://schemas.microsoft.com/office/drawing/2014/main" id="{00000000-0008-0000-0400-00005A000000}"/>
            </a:ext>
          </a:extLst>
        </xdr:cNvPr>
        <xdr:cNvSpPr txBox="1"/>
      </xdr:nvSpPr>
      <xdr:spPr>
        <a:xfrm>
          <a:off x="8263890" y="4747262"/>
          <a:ext cx="72390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ctr"/>
          <a:r>
            <a:rPr lang="en-PH" sz="1000" b="1">
              <a:solidFill>
                <a:schemeClr val="tx1"/>
              </a:solidFill>
              <a:effectLst/>
              <a:latin typeface="Times New Roman" panose="02020603050405020304" pitchFamily="18" charset="0"/>
              <a:ea typeface="+mn-ea"/>
              <a:cs typeface="Times New Roman" panose="02020603050405020304" pitchFamily="18" charset="0"/>
            </a:rPr>
            <a:t>Marking</a:t>
          </a:r>
        </a:p>
        <a:p>
          <a:pPr algn="ctr"/>
          <a:endParaRPr lang="en-PH" sz="500" b="1">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AO</a:t>
          </a:r>
        </a:p>
        <a:p>
          <a:pPr algn="ctr"/>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SO</a:t>
          </a:r>
        </a:p>
        <a:p>
          <a:pPr algn="ctr"/>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RO</a:t>
          </a:r>
        </a:p>
        <a:p>
          <a:pPr algn="ctr"/>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NO</a:t>
          </a:r>
        </a:p>
      </xdr:txBody>
    </xdr:sp>
    <xdr:clientData/>
  </xdr:twoCellAnchor>
  <xdr:twoCellAnchor editAs="absolute">
    <xdr:from>
      <xdr:col>13</xdr:col>
      <xdr:colOff>1020632</xdr:colOff>
      <xdr:row>24</xdr:row>
      <xdr:rowOff>53788</xdr:rowOff>
    </xdr:from>
    <xdr:to>
      <xdr:col>17</xdr:col>
      <xdr:colOff>85165</xdr:colOff>
      <xdr:row>29</xdr:row>
      <xdr:rowOff>97265</xdr:rowOff>
    </xdr:to>
    <xdr:sp macro="" textlink="">
      <xdr:nvSpPr>
        <xdr:cNvPr id="92" name="TextBox 91">
          <a:extLst>
            <a:ext uri="{FF2B5EF4-FFF2-40B4-BE49-F238E27FC236}">
              <a16:creationId xmlns:a16="http://schemas.microsoft.com/office/drawing/2014/main" id="{00000000-0008-0000-0400-00005C000000}"/>
            </a:ext>
          </a:extLst>
        </xdr:cNvPr>
        <xdr:cNvSpPr txBox="1"/>
      </xdr:nvSpPr>
      <xdr:spPr>
        <a:xfrm>
          <a:off x="9845040" y="4747260"/>
          <a:ext cx="220218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Non-numerical Rating </a:t>
          </a:r>
        </a:p>
        <a:p>
          <a:pPr algn="ctr"/>
          <a:endParaRPr lang="en-PH" sz="500" b="1">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Always</a:t>
          </a:r>
          <a:r>
            <a:rPr lang="en-PH" sz="1000" b="0" baseline="0">
              <a:solidFill>
                <a:schemeClr val="tx1"/>
              </a:solidFill>
              <a:effectLst/>
              <a:latin typeface="Times New Roman" panose="02020603050405020304" pitchFamily="18" charset="0"/>
              <a:ea typeface="+mn-ea"/>
              <a:cs typeface="Times New Roman" panose="02020603050405020304" pitchFamily="18" charset="0"/>
            </a:rPr>
            <a:t> Observed</a:t>
          </a:r>
          <a:endParaRPr lang="en-PH" sz="1000" b="0">
            <a:solidFill>
              <a:schemeClr val="tx1"/>
            </a:solidFill>
            <a:effectLst/>
            <a:latin typeface="Times New Roman" panose="02020603050405020304" pitchFamily="18" charset="0"/>
            <a:ea typeface="+mn-ea"/>
            <a:cs typeface="Times New Roman" panose="02020603050405020304" pitchFamily="18" charset="0"/>
          </a:endParaRPr>
        </a:p>
        <a:p>
          <a:pPr algn="l"/>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Sometimes</a:t>
          </a:r>
          <a:r>
            <a:rPr lang="en-PH" sz="1000" b="0" baseline="0">
              <a:solidFill>
                <a:schemeClr val="tx1"/>
              </a:solidFill>
              <a:effectLst/>
              <a:latin typeface="Times New Roman" panose="02020603050405020304" pitchFamily="18" charset="0"/>
              <a:ea typeface="+mn-ea"/>
              <a:cs typeface="Times New Roman" panose="02020603050405020304" pitchFamily="18" charset="0"/>
            </a:rPr>
            <a:t> Observed</a:t>
          </a:r>
          <a:endParaRPr lang="en-PH" sz="1000" b="0">
            <a:solidFill>
              <a:schemeClr val="tx1"/>
            </a:solidFill>
            <a:effectLst/>
            <a:latin typeface="Times New Roman" panose="02020603050405020304" pitchFamily="18" charset="0"/>
            <a:ea typeface="+mn-ea"/>
            <a:cs typeface="Times New Roman" panose="02020603050405020304" pitchFamily="18" charset="0"/>
          </a:endParaRPr>
        </a:p>
        <a:p>
          <a:pPr algn="l"/>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Rarely</a:t>
          </a:r>
          <a:r>
            <a:rPr lang="en-PH" sz="1000" b="0" baseline="0">
              <a:solidFill>
                <a:schemeClr val="tx1"/>
              </a:solidFill>
              <a:effectLst/>
              <a:latin typeface="Times New Roman" panose="02020603050405020304" pitchFamily="18" charset="0"/>
              <a:ea typeface="+mn-ea"/>
              <a:cs typeface="Times New Roman" panose="02020603050405020304" pitchFamily="18" charset="0"/>
            </a:rPr>
            <a:t> Observed</a:t>
          </a:r>
          <a:endParaRPr lang="en-PH" sz="1000" b="0">
            <a:solidFill>
              <a:schemeClr val="tx1"/>
            </a:solidFill>
            <a:effectLst/>
            <a:latin typeface="Times New Roman" panose="02020603050405020304" pitchFamily="18" charset="0"/>
            <a:ea typeface="+mn-ea"/>
            <a:cs typeface="Times New Roman" panose="02020603050405020304" pitchFamily="18" charset="0"/>
          </a:endParaRPr>
        </a:p>
        <a:p>
          <a:pPr algn="l"/>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Not</a:t>
          </a:r>
          <a:r>
            <a:rPr lang="en-PH" sz="1000" b="0" baseline="0">
              <a:solidFill>
                <a:schemeClr val="tx1"/>
              </a:solidFill>
              <a:effectLst/>
              <a:latin typeface="Times New Roman" panose="02020603050405020304" pitchFamily="18" charset="0"/>
              <a:ea typeface="+mn-ea"/>
              <a:cs typeface="Times New Roman" panose="02020603050405020304" pitchFamily="18" charset="0"/>
            </a:rPr>
            <a:t> Observed</a:t>
          </a: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12</xdr:col>
      <xdr:colOff>350072</xdr:colOff>
      <xdr:row>31</xdr:row>
      <xdr:rowOff>84269</xdr:rowOff>
    </xdr:from>
    <xdr:to>
      <xdr:col>13</xdr:col>
      <xdr:colOff>1063214</xdr:colOff>
      <xdr:row>36</xdr:row>
      <xdr:rowOff>82922</xdr:rowOff>
    </xdr:to>
    <xdr:sp macro="" textlink="">
      <xdr:nvSpPr>
        <xdr:cNvPr id="94" name="TextBox 93">
          <a:extLst>
            <a:ext uri="{FF2B5EF4-FFF2-40B4-BE49-F238E27FC236}">
              <a16:creationId xmlns:a16="http://schemas.microsoft.com/office/drawing/2014/main" id="{00000000-0008-0000-0400-00005E000000}"/>
            </a:ext>
          </a:extLst>
        </xdr:cNvPr>
        <xdr:cNvSpPr txBox="1"/>
      </xdr:nvSpPr>
      <xdr:spPr>
        <a:xfrm>
          <a:off x="8191500" y="6225541"/>
          <a:ext cx="169926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Descriptors</a:t>
          </a:r>
        </a:p>
        <a:p>
          <a:pPr algn="l"/>
          <a:endParaRPr lang="en-PH" sz="100" b="1">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Outstanding</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Very</a:t>
          </a:r>
          <a:r>
            <a:rPr lang="en-PH" sz="1000" b="0" baseline="0">
              <a:solidFill>
                <a:schemeClr val="tx1"/>
              </a:solidFill>
              <a:effectLst/>
              <a:latin typeface="Times New Roman" panose="02020603050405020304" pitchFamily="18" charset="0"/>
              <a:ea typeface="+mn-ea"/>
              <a:cs typeface="Times New Roman" panose="02020603050405020304" pitchFamily="18" charset="0"/>
            </a:rPr>
            <a:t> Satisfactory</a:t>
          </a:r>
          <a:endParaRPr lang="en-PH" sz="1000" b="0">
            <a:solidFill>
              <a:schemeClr val="tx1"/>
            </a:solidFill>
            <a:effectLst/>
            <a:latin typeface="Times New Roman" panose="02020603050405020304" pitchFamily="18" charset="0"/>
            <a:ea typeface="+mn-ea"/>
            <a:cs typeface="Times New Roman" panose="02020603050405020304" pitchFamily="18" charset="0"/>
          </a:endParaRP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Satisfactory</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Fairly</a:t>
          </a:r>
          <a:r>
            <a:rPr lang="en-PH" sz="1000" b="0" baseline="0">
              <a:solidFill>
                <a:schemeClr val="tx1"/>
              </a:solidFill>
              <a:effectLst/>
              <a:latin typeface="Times New Roman" panose="02020603050405020304" pitchFamily="18" charset="0"/>
              <a:ea typeface="+mn-ea"/>
              <a:cs typeface="Times New Roman" panose="02020603050405020304" pitchFamily="18" charset="0"/>
            </a:rPr>
            <a:t> Satisfactory</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Did not</a:t>
          </a:r>
          <a:r>
            <a:rPr lang="en-PH" sz="1000" b="0" baseline="0">
              <a:solidFill>
                <a:schemeClr val="tx1"/>
              </a:solidFill>
              <a:effectLst/>
              <a:latin typeface="Times New Roman" panose="02020603050405020304" pitchFamily="18" charset="0"/>
              <a:ea typeface="+mn-ea"/>
              <a:cs typeface="Times New Roman" panose="02020603050405020304" pitchFamily="18" charset="0"/>
            </a:rPr>
            <a:t> Meet Expectations</a:t>
          </a: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11</xdr:col>
      <xdr:colOff>98612</xdr:colOff>
      <xdr:row>30</xdr:row>
      <xdr:rowOff>53788</xdr:rowOff>
    </xdr:from>
    <xdr:to>
      <xdr:col>13</xdr:col>
      <xdr:colOff>1288228</xdr:colOff>
      <xdr:row>31</xdr:row>
      <xdr:rowOff>82475</xdr:rowOff>
    </xdr:to>
    <xdr:sp macro="" textlink="">
      <xdr:nvSpPr>
        <xdr:cNvPr id="95" name="TextBox 94">
          <a:extLst>
            <a:ext uri="{FF2B5EF4-FFF2-40B4-BE49-F238E27FC236}">
              <a16:creationId xmlns:a16="http://schemas.microsoft.com/office/drawing/2014/main" id="{00000000-0008-0000-0400-00005F000000}"/>
            </a:ext>
          </a:extLst>
        </xdr:cNvPr>
        <xdr:cNvSpPr txBox="1"/>
      </xdr:nvSpPr>
      <xdr:spPr>
        <a:xfrm>
          <a:off x="7810500" y="5981700"/>
          <a:ext cx="2301240" cy="243840"/>
        </a:xfrm>
        <a:prstGeom prst="rect">
          <a:avLst/>
        </a:prstGeom>
        <a:solidFill>
          <a:schemeClr val="bg1"/>
        </a:solid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Learner Progress and Achievement</a:t>
          </a:r>
        </a:p>
      </xdr:txBody>
    </xdr:sp>
    <xdr:clientData/>
  </xdr:twoCellAnchor>
  <xdr:twoCellAnchor editAs="absolute">
    <xdr:from>
      <xdr:col>13</xdr:col>
      <xdr:colOff>1287332</xdr:colOff>
      <xdr:row>31</xdr:row>
      <xdr:rowOff>84268</xdr:rowOff>
    </xdr:from>
    <xdr:to>
      <xdr:col>14</xdr:col>
      <xdr:colOff>95923</xdr:colOff>
      <xdr:row>36</xdr:row>
      <xdr:rowOff>82921</xdr:rowOff>
    </xdr:to>
    <xdr:sp macro="" textlink="">
      <xdr:nvSpPr>
        <xdr:cNvPr id="96" name="TextBox 95">
          <a:extLst>
            <a:ext uri="{FF2B5EF4-FFF2-40B4-BE49-F238E27FC236}">
              <a16:creationId xmlns:a16="http://schemas.microsoft.com/office/drawing/2014/main" id="{00000000-0008-0000-0400-000060000000}"/>
            </a:ext>
          </a:extLst>
        </xdr:cNvPr>
        <xdr:cNvSpPr txBox="1"/>
      </xdr:nvSpPr>
      <xdr:spPr>
        <a:xfrm>
          <a:off x="10111740" y="6225540"/>
          <a:ext cx="111252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ctr"/>
          <a:r>
            <a:rPr lang="en-PH" sz="1000" b="1">
              <a:solidFill>
                <a:schemeClr val="tx1"/>
              </a:solidFill>
              <a:effectLst/>
              <a:latin typeface="Times New Roman" panose="02020603050405020304" pitchFamily="18" charset="0"/>
              <a:ea typeface="+mn-ea"/>
              <a:cs typeface="Times New Roman" panose="02020603050405020304" pitchFamily="18" charset="0"/>
            </a:rPr>
            <a:t>Grading</a:t>
          </a:r>
          <a:r>
            <a:rPr lang="en-PH" sz="1000" b="1" baseline="0">
              <a:solidFill>
                <a:schemeClr val="tx1"/>
              </a:solidFill>
              <a:effectLst/>
              <a:latin typeface="Times New Roman" panose="02020603050405020304" pitchFamily="18" charset="0"/>
              <a:ea typeface="+mn-ea"/>
              <a:cs typeface="Times New Roman" panose="02020603050405020304" pitchFamily="18" charset="0"/>
            </a:rPr>
            <a:t> Scale</a:t>
          </a:r>
          <a:endParaRPr lang="en-PH" sz="1000" b="1">
            <a:solidFill>
              <a:schemeClr val="tx1"/>
            </a:solidFill>
            <a:effectLst/>
            <a:latin typeface="Times New Roman" panose="02020603050405020304" pitchFamily="18" charset="0"/>
            <a:ea typeface="+mn-ea"/>
            <a:cs typeface="Times New Roman" panose="02020603050405020304" pitchFamily="18" charset="0"/>
          </a:endParaRPr>
        </a:p>
        <a:p>
          <a:pPr algn="ctr"/>
          <a:endParaRPr lang="en-PH" sz="100" b="1">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90-100</a:t>
          </a:r>
        </a:p>
        <a:p>
          <a:pPr algn="ctr"/>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85-89</a:t>
          </a:r>
        </a:p>
        <a:p>
          <a:pPr algn="ctr"/>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80-84</a:t>
          </a:r>
        </a:p>
        <a:p>
          <a:pPr algn="ctr"/>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baseline="0">
              <a:solidFill>
                <a:schemeClr val="tx1"/>
              </a:solidFill>
              <a:effectLst/>
              <a:latin typeface="Times New Roman" panose="02020603050405020304" pitchFamily="18" charset="0"/>
              <a:ea typeface="+mn-ea"/>
              <a:cs typeface="Times New Roman" panose="02020603050405020304" pitchFamily="18" charset="0"/>
            </a:rPr>
            <a:t>75-79</a:t>
          </a:r>
        </a:p>
        <a:p>
          <a:pPr algn="ctr"/>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Below</a:t>
          </a:r>
          <a:r>
            <a:rPr lang="en-PH" sz="1000" b="0" baseline="0">
              <a:solidFill>
                <a:schemeClr val="tx1"/>
              </a:solidFill>
              <a:effectLst/>
              <a:latin typeface="Times New Roman" panose="02020603050405020304" pitchFamily="18" charset="0"/>
              <a:ea typeface="+mn-ea"/>
              <a:cs typeface="Times New Roman" panose="02020603050405020304" pitchFamily="18" charset="0"/>
            </a:rPr>
            <a:t> 75</a:t>
          </a: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15</xdr:col>
      <xdr:colOff>98612</xdr:colOff>
      <xdr:row>31</xdr:row>
      <xdr:rowOff>84268</xdr:rowOff>
    </xdr:from>
    <xdr:to>
      <xdr:col>20</xdr:col>
      <xdr:colOff>225014</xdr:colOff>
      <xdr:row>36</xdr:row>
      <xdr:rowOff>82921</xdr:rowOff>
    </xdr:to>
    <xdr:sp macro="" textlink="">
      <xdr:nvSpPr>
        <xdr:cNvPr id="97" name="TextBox 96">
          <a:extLst>
            <a:ext uri="{FF2B5EF4-FFF2-40B4-BE49-F238E27FC236}">
              <a16:creationId xmlns:a16="http://schemas.microsoft.com/office/drawing/2014/main" id="{00000000-0008-0000-0400-000061000000}"/>
            </a:ext>
          </a:extLst>
        </xdr:cNvPr>
        <xdr:cNvSpPr txBox="1"/>
      </xdr:nvSpPr>
      <xdr:spPr>
        <a:xfrm>
          <a:off x="11498580" y="6225540"/>
          <a:ext cx="111252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Remarks</a:t>
          </a:r>
        </a:p>
        <a:p>
          <a:pPr algn="l"/>
          <a:endParaRPr lang="en-PH" sz="100" b="1">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Passed</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Passed</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Passed</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baseline="0">
              <a:solidFill>
                <a:schemeClr val="tx1"/>
              </a:solidFill>
              <a:effectLst/>
              <a:latin typeface="Times New Roman" panose="02020603050405020304" pitchFamily="18" charset="0"/>
              <a:ea typeface="+mn-ea"/>
              <a:cs typeface="Times New Roman" panose="02020603050405020304" pitchFamily="18" charset="0"/>
            </a:rPr>
            <a:t>Passed</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Failed</a:t>
          </a:r>
        </a:p>
      </xdr:txBody>
    </xdr:sp>
    <xdr:clientData/>
  </xdr:twoCellAnchor>
  <xdr:twoCellAnchor editAs="absolute">
    <xdr:from>
      <xdr:col>1</xdr:col>
      <xdr:colOff>17926</xdr:colOff>
      <xdr:row>2</xdr:row>
      <xdr:rowOff>17927</xdr:rowOff>
    </xdr:from>
    <xdr:to>
      <xdr:col>2</xdr:col>
      <xdr:colOff>799084</xdr:colOff>
      <xdr:row>4</xdr:row>
      <xdr:rowOff>78411</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98608" y="627527"/>
          <a:ext cx="148040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STUDENT NAMES</a:t>
          </a:r>
        </a:p>
      </xdr:txBody>
    </xdr:sp>
    <xdr:clientData/>
  </xdr:twoCellAnchor>
  <xdr:twoCellAnchor editAs="oneCell">
    <xdr:from>
      <xdr:col>1</xdr:col>
      <xdr:colOff>17926</xdr:colOff>
      <xdr:row>4</xdr:row>
      <xdr:rowOff>71726</xdr:rowOff>
    </xdr:from>
    <xdr:to>
      <xdr:col>3</xdr:col>
      <xdr:colOff>53788</xdr:colOff>
      <xdr:row>25</xdr:row>
      <xdr:rowOff>152401</xdr:rowOff>
    </xdr:to>
    <mc:AlternateContent xmlns:mc="http://schemas.openxmlformats.org/markup-compatibility/2006" xmlns:a14="http://schemas.microsoft.com/office/drawing/2010/main">
      <mc:Choice Requires="a14">
        <xdr:graphicFrame macro="">
          <xdr:nvGraphicFramePr>
            <xdr:cNvPr id="4" name="Student Name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udent Name 2"/>
            </a:graphicData>
          </a:graphic>
        </xdr:graphicFrame>
      </mc:Choice>
      <mc:Fallback xmlns="">
        <xdr:sp macro="" textlink="">
          <xdr:nvSpPr>
            <xdr:cNvPr id="0" name=""/>
            <xdr:cNvSpPr>
              <a:spLocks noTextEdit="1"/>
            </xdr:cNvSpPr>
          </xdr:nvSpPr>
          <xdr:spPr>
            <a:xfrm>
              <a:off x="98608" y="896479"/>
              <a:ext cx="2545980" cy="4392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53787</xdr:colOff>
      <xdr:row>1</xdr:row>
      <xdr:rowOff>331694</xdr:rowOff>
    </xdr:from>
    <xdr:to>
      <xdr:col>19</xdr:col>
      <xdr:colOff>35859</xdr:colOff>
      <xdr:row>38</xdr:row>
      <xdr:rowOff>172124</xdr:rowOff>
    </xdr:to>
    <xdr:grpSp>
      <xdr:nvGrpSpPr>
        <xdr:cNvPr id="13" name="Group 12" hidden="1">
          <a:extLst>
            <a:ext uri="{FF2B5EF4-FFF2-40B4-BE49-F238E27FC236}">
              <a16:creationId xmlns:a16="http://schemas.microsoft.com/office/drawing/2014/main" id="{00000000-0008-0000-0400-00000D000000}"/>
            </a:ext>
          </a:extLst>
        </xdr:cNvPr>
        <xdr:cNvGrpSpPr/>
      </xdr:nvGrpSpPr>
      <xdr:grpSpPr>
        <a:xfrm>
          <a:off x="2644587" y="475129"/>
          <a:ext cx="10058401" cy="7514219"/>
          <a:chOff x="2644587" y="475129"/>
          <a:chExt cx="10058401" cy="7514219"/>
        </a:xfrm>
      </xdr:grpSpPr>
      <xdr:grpSp>
        <xdr:nvGrpSpPr>
          <xdr:cNvPr id="12" name="Group 11">
            <a:extLst>
              <a:ext uri="{FF2B5EF4-FFF2-40B4-BE49-F238E27FC236}">
                <a16:creationId xmlns:a16="http://schemas.microsoft.com/office/drawing/2014/main" id="{00000000-0008-0000-0400-00000C000000}"/>
              </a:ext>
            </a:extLst>
          </xdr:cNvPr>
          <xdr:cNvGrpSpPr/>
        </xdr:nvGrpSpPr>
        <xdr:grpSpPr>
          <a:xfrm>
            <a:off x="2644587" y="475129"/>
            <a:ext cx="10058401" cy="7514219"/>
            <a:chOff x="2644587" y="475129"/>
            <a:chExt cx="10058401" cy="7514219"/>
          </a:xfrm>
        </xdr:grpSpPr>
        <xdr:sp macro="" textlink="">
          <xdr:nvSpPr>
            <xdr:cNvPr id="9" name="Rectangle 8">
              <a:extLst>
                <a:ext uri="{FF2B5EF4-FFF2-40B4-BE49-F238E27FC236}">
                  <a16:creationId xmlns:a16="http://schemas.microsoft.com/office/drawing/2014/main" id="{00000000-0008-0000-0400-000009000000}"/>
                </a:ext>
              </a:extLst>
            </xdr:cNvPr>
            <xdr:cNvSpPr/>
          </xdr:nvSpPr>
          <xdr:spPr>
            <a:xfrm>
              <a:off x="3989293" y="3514165"/>
              <a:ext cx="2671484" cy="126402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 name="Rectangle 1">
              <a:extLst>
                <a:ext uri="{FF2B5EF4-FFF2-40B4-BE49-F238E27FC236}">
                  <a16:creationId xmlns:a16="http://schemas.microsoft.com/office/drawing/2014/main" id="{00000000-0008-0000-0400-000002000000}"/>
                </a:ext>
              </a:extLst>
            </xdr:cNvPr>
            <xdr:cNvSpPr/>
          </xdr:nvSpPr>
          <xdr:spPr>
            <a:xfrm>
              <a:off x="2644587" y="510988"/>
              <a:ext cx="3567953" cy="7440706"/>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400-000005000000}"/>
                </a:ext>
              </a:extLst>
            </xdr:cNvPr>
            <xdr:cNvSpPr/>
          </xdr:nvSpPr>
          <xdr:spPr>
            <a:xfrm>
              <a:off x="7422775" y="475129"/>
              <a:ext cx="5280213" cy="7440706"/>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4814044" y="4303060"/>
              <a:ext cx="5133193" cy="3686288"/>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4688539" y="1918447"/>
              <a:ext cx="5133193" cy="2178424"/>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5396752" y="484094"/>
              <a:ext cx="2671484" cy="126402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0" name="Rectangle 9">
            <a:extLst>
              <a:ext uri="{FF2B5EF4-FFF2-40B4-BE49-F238E27FC236}">
                <a16:creationId xmlns:a16="http://schemas.microsoft.com/office/drawing/2014/main" id="{00000000-0008-0000-0400-00000A000000}"/>
              </a:ext>
            </a:extLst>
          </xdr:cNvPr>
          <xdr:cNvSpPr/>
        </xdr:nvSpPr>
        <xdr:spPr>
          <a:xfrm>
            <a:off x="6490445" y="1470212"/>
            <a:ext cx="259978" cy="126402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160762</xdr:colOff>
      <xdr:row>1</xdr:row>
      <xdr:rowOff>0</xdr:rowOff>
    </xdr:from>
    <xdr:to>
      <xdr:col>2</xdr:col>
      <xdr:colOff>525112</xdr:colOff>
      <xdr:row>1</xdr:row>
      <xdr:rowOff>274926</xdr:rowOff>
    </xdr:to>
    <xdr:grpSp>
      <xdr:nvGrpSpPr>
        <xdr:cNvPr id="29" name="Group 28">
          <a:extLst>
            <a:ext uri="{FF2B5EF4-FFF2-40B4-BE49-F238E27FC236}">
              <a16:creationId xmlns:a16="http://schemas.microsoft.com/office/drawing/2014/main" id="{CEB126DC-067C-4C4A-B44C-8C792E7C3C59}"/>
            </a:ext>
          </a:extLst>
        </xdr:cNvPr>
        <xdr:cNvGrpSpPr/>
      </xdr:nvGrpSpPr>
      <xdr:grpSpPr>
        <a:xfrm>
          <a:off x="940691" y="143435"/>
          <a:ext cx="364350" cy="274926"/>
          <a:chOff x="14943988" y="883469"/>
          <a:chExt cx="339525" cy="274582"/>
        </a:xfrm>
      </xdr:grpSpPr>
      <xdr:sp macro="[0]!refresh_data" textlink="">
        <xdr:nvSpPr>
          <xdr:cNvPr id="30" name="Rectangle 29">
            <a:extLst>
              <a:ext uri="{FF2B5EF4-FFF2-40B4-BE49-F238E27FC236}">
                <a16:creationId xmlns:a16="http://schemas.microsoft.com/office/drawing/2014/main" id="{C4285287-9C1A-BBA1-075A-91423BA05CA5}"/>
              </a:ext>
            </a:extLst>
          </xdr:cNvPr>
          <xdr:cNvSpPr/>
        </xdr:nvSpPr>
        <xdr:spPr>
          <a:xfrm>
            <a:off x="14943988" y="883469"/>
            <a:ext cx="339525" cy="27458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data">
        <xdr:nvPicPr>
          <xdr:cNvPr id="31" name="Graphic 30" descr="Repeat outline">
            <a:extLst>
              <a:ext uri="{FF2B5EF4-FFF2-40B4-BE49-F238E27FC236}">
                <a16:creationId xmlns:a16="http://schemas.microsoft.com/office/drawing/2014/main" id="{6697B531-9726-AAAF-C190-4C98942B5FF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004649" y="912435"/>
            <a:ext cx="218203" cy="216650"/>
          </a:xfrm>
          <a:prstGeom prst="rect">
            <a:avLst/>
          </a:prstGeom>
        </xdr:spPr>
      </xdr:pic>
    </xdr:grpSp>
    <xdr:clientData/>
  </xdr:twoCellAnchor>
  <xdr:twoCellAnchor>
    <xdr:from>
      <xdr:col>1</xdr:col>
      <xdr:colOff>35858</xdr:colOff>
      <xdr:row>1</xdr:row>
      <xdr:rowOff>0</xdr:rowOff>
    </xdr:from>
    <xdr:to>
      <xdr:col>1</xdr:col>
      <xdr:colOff>398509</xdr:colOff>
      <xdr:row>1</xdr:row>
      <xdr:rowOff>271628</xdr:rowOff>
    </xdr:to>
    <xdr:grpSp>
      <xdr:nvGrpSpPr>
        <xdr:cNvPr id="32" name="Group 31">
          <a:hlinkClick xmlns:r="http://schemas.openxmlformats.org/officeDocument/2006/relationships" r:id="rId3" tooltip="Go Back to Page 1"/>
          <a:extLst>
            <a:ext uri="{FF2B5EF4-FFF2-40B4-BE49-F238E27FC236}">
              <a16:creationId xmlns:a16="http://schemas.microsoft.com/office/drawing/2014/main" id="{35C1A80D-0821-455C-948C-3176A3B94695}"/>
            </a:ext>
          </a:extLst>
        </xdr:cNvPr>
        <xdr:cNvGrpSpPr/>
      </xdr:nvGrpSpPr>
      <xdr:grpSpPr>
        <a:xfrm>
          <a:off x="116540" y="143435"/>
          <a:ext cx="362651" cy="271628"/>
          <a:chOff x="13788825" y="843442"/>
          <a:chExt cx="341964" cy="271284"/>
        </a:xfrm>
      </xdr:grpSpPr>
      <xdr:sp macro="" textlink="">
        <xdr:nvSpPr>
          <xdr:cNvPr id="33" name="Rectangle 32">
            <a:extLst>
              <a:ext uri="{FF2B5EF4-FFF2-40B4-BE49-F238E27FC236}">
                <a16:creationId xmlns:a16="http://schemas.microsoft.com/office/drawing/2014/main" id="{D84626A5-9A0E-7621-5DAB-1455BE4823E5}"/>
              </a:ext>
            </a:extLst>
          </xdr:cNvPr>
          <xdr:cNvSpPr/>
        </xdr:nvSpPr>
        <xdr:spPr>
          <a:xfrm>
            <a:off x="13788825" y="843442"/>
            <a:ext cx="341964"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4" name="Graphic 33" descr="Back outline">
            <a:extLst>
              <a:ext uri="{FF2B5EF4-FFF2-40B4-BE49-F238E27FC236}">
                <a16:creationId xmlns:a16="http://schemas.microsoft.com/office/drawing/2014/main" id="{FFC896AB-6E07-87DF-AFBF-6DB5CF9E22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850707" y="864897"/>
            <a:ext cx="218201" cy="216650"/>
          </a:xfrm>
          <a:prstGeom prst="rect">
            <a:avLst/>
          </a:prstGeom>
        </xdr:spPr>
      </xdr:pic>
    </xdr:grpSp>
    <xdr:clientData/>
  </xdr:twoCellAnchor>
  <xdr:twoCellAnchor>
    <xdr:from>
      <xdr:col>1</xdr:col>
      <xdr:colOff>448331</xdr:colOff>
      <xdr:row>1</xdr:row>
      <xdr:rowOff>0</xdr:rowOff>
    </xdr:from>
    <xdr:to>
      <xdr:col>2</xdr:col>
      <xdr:colOff>115078</xdr:colOff>
      <xdr:row>1</xdr:row>
      <xdr:rowOff>271628</xdr:rowOff>
    </xdr:to>
    <xdr:grpSp>
      <xdr:nvGrpSpPr>
        <xdr:cNvPr id="35" name="Group 34">
          <a:hlinkClick xmlns:r="http://schemas.openxmlformats.org/officeDocument/2006/relationships" r:id="rId6" tooltip="Go Forward to Permanent Record"/>
          <a:extLst>
            <a:ext uri="{FF2B5EF4-FFF2-40B4-BE49-F238E27FC236}">
              <a16:creationId xmlns:a16="http://schemas.microsoft.com/office/drawing/2014/main" id="{C1A0EF60-48C7-4EED-8C76-E404CD21A893}"/>
            </a:ext>
          </a:extLst>
        </xdr:cNvPr>
        <xdr:cNvGrpSpPr/>
      </xdr:nvGrpSpPr>
      <xdr:grpSpPr>
        <a:xfrm>
          <a:off x="529013" y="143435"/>
          <a:ext cx="365994" cy="271628"/>
          <a:chOff x="14282831" y="1456004"/>
          <a:chExt cx="341168" cy="271284"/>
        </a:xfrm>
      </xdr:grpSpPr>
      <xdr:sp macro="" textlink="">
        <xdr:nvSpPr>
          <xdr:cNvPr id="36" name="Rectangle 35">
            <a:extLst>
              <a:ext uri="{FF2B5EF4-FFF2-40B4-BE49-F238E27FC236}">
                <a16:creationId xmlns:a16="http://schemas.microsoft.com/office/drawing/2014/main" id="{F75ED360-CFE7-B8B8-6A8D-2B05DC6CBE44}"/>
              </a:ext>
            </a:extLst>
          </xdr:cNvPr>
          <xdr:cNvSpPr/>
        </xdr:nvSpPr>
        <xdr:spPr>
          <a:xfrm>
            <a:off x="14282831" y="1456004"/>
            <a:ext cx="341168"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7" name="Graphic 36" descr="Back outline">
            <a:extLst>
              <a:ext uri="{FF2B5EF4-FFF2-40B4-BE49-F238E27FC236}">
                <a16:creationId xmlns:a16="http://schemas.microsoft.com/office/drawing/2014/main" id="{E9FA8465-74B9-7FC1-D538-E429EE5C52D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347261" y="1477631"/>
            <a:ext cx="212309" cy="216306"/>
          </a:xfrm>
          <a:prstGeom prst="rect">
            <a:avLst/>
          </a:prstGeom>
        </xdr:spPr>
      </xdr:pic>
    </xdr:grpSp>
    <xdr:clientData/>
  </xdr:twoCellAnchor>
  <xdr:twoCellAnchor>
    <xdr:from>
      <xdr:col>16</xdr:col>
      <xdr:colOff>190816</xdr:colOff>
      <xdr:row>1</xdr:row>
      <xdr:rowOff>0</xdr:rowOff>
    </xdr:from>
    <xdr:to>
      <xdr:col>18</xdr:col>
      <xdr:colOff>0</xdr:colOff>
      <xdr:row>1</xdr:row>
      <xdr:rowOff>268056</xdr:rowOff>
    </xdr:to>
    <xdr:grpSp>
      <xdr:nvGrpSpPr>
        <xdr:cNvPr id="43" name="Group 42">
          <a:extLst>
            <a:ext uri="{FF2B5EF4-FFF2-40B4-BE49-F238E27FC236}">
              <a16:creationId xmlns:a16="http://schemas.microsoft.com/office/drawing/2014/main" id="{45654A3B-1BF5-4420-82CC-0B996524178D}"/>
            </a:ext>
          </a:extLst>
        </xdr:cNvPr>
        <xdr:cNvGrpSpPr/>
      </xdr:nvGrpSpPr>
      <xdr:grpSpPr>
        <a:xfrm>
          <a:off x="12230416" y="143435"/>
          <a:ext cx="364996" cy="268056"/>
          <a:chOff x="13158867" y="1095823"/>
          <a:chExt cx="341964" cy="267712"/>
        </a:xfrm>
      </xdr:grpSpPr>
      <xdr:sp macro="[0]!print_sf9_backpage" textlink="">
        <xdr:nvSpPr>
          <xdr:cNvPr id="47" name="Rectangle 46">
            <a:extLst>
              <a:ext uri="{FF2B5EF4-FFF2-40B4-BE49-F238E27FC236}">
                <a16:creationId xmlns:a16="http://schemas.microsoft.com/office/drawing/2014/main" id="{999BB4B4-58C3-FA56-2B60-403AEC4AF806}"/>
              </a:ext>
            </a:extLst>
          </xdr:cNvPr>
          <xdr:cNvSpPr/>
        </xdr:nvSpPr>
        <xdr:spPr>
          <a:xfrm>
            <a:off x="13158867" y="1095823"/>
            <a:ext cx="341964" cy="26771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int_sf9_backpage">
        <xdr:nvPicPr>
          <xdr:cNvPr id="78" name="Graphic 77" descr="Fax outline">
            <a:extLst>
              <a:ext uri="{FF2B5EF4-FFF2-40B4-BE49-F238E27FC236}">
                <a16:creationId xmlns:a16="http://schemas.microsoft.com/office/drawing/2014/main" id="{5998D007-6AA0-3525-6AFD-E66D1ACD365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221756" y="1112966"/>
            <a:ext cx="216187" cy="233427"/>
          </a:xfrm>
          <a:prstGeom prst="rect">
            <a:avLst/>
          </a:prstGeom>
        </xdr:spPr>
      </xdr:pic>
    </xdr:grpSp>
    <xdr:clientData/>
  </xdr:twoCellAnchor>
  <xdr:twoCellAnchor>
    <xdr:from>
      <xdr:col>15</xdr:col>
      <xdr:colOff>56347</xdr:colOff>
      <xdr:row>1</xdr:row>
      <xdr:rowOff>0</xdr:rowOff>
    </xdr:from>
    <xdr:to>
      <xdr:col>16</xdr:col>
      <xdr:colOff>143437</xdr:colOff>
      <xdr:row>1</xdr:row>
      <xdr:rowOff>268056</xdr:rowOff>
    </xdr:to>
    <xdr:grpSp>
      <xdr:nvGrpSpPr>
        <xdr:cNvPr id="87" name="Group 86">
          <a:hlinkClick xmlns:r="http://schemas.openxmlformats.org/officeDocument/2006/relationships" r:id="rId11" tooltip="Save a Copy"/>
          <a:extLst>
            <a:ext uri="{FF2B5EF4-FFF2-40B4-BE49-F238E27FC236}">
              <a16:creationId xmlns:a16="http://schemas.microsoft.com/office/drawing/2014/main" id="{242FC571-FDBD-49CE-AC0D-2B66E1CBB0FC}"/>
            </a:ext>
          </a:extLst>
        </xdr:cNvPr>
        <xdr:cNvGrpSpPr/>
      </xdr:nvGrpSpPr>
      <xdr:grpSpPr>
        <a:xfrm>
          <a:off x="11818041" y="143435"/>
          <a:ext cx="364996" cy="268056"/>
          <a:chOff x="13827365" y="995082"/>
          <a:chExt cx="364996" cy="268056"/>
        </a:xfrm>
      </xdr:grpSpPr>
      <xdr:sp macro="" textlink="">
        <xdr:nvSpPr>
          <xdr:cNvPr id="91" name="Rectangle 90">
            <a:extLst>
              <a:ext uri="{FF2B5EF4-FFF2-40B4-BE49-F238E27FC236}">
                <a16:creationId xmlns:a16="http://schemas.microsoft.com/office/drawing/2014/main" id="{B26C86F1-EC23-B89A-254D-C3D563006C62}"/>
              </a:ext>
            </a:extLst>
          </xdr:cNvPr>
          <xdr:cNvSpPr/>
        </xdr:nvSpPr>
        <xdr:spPr>
          <a:xfrm>
            <a:off x="13827365" y="995082"/>
            <a:ext cx="364996" cy="268056"/>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3" name="Graphic 92" descr="Download outline">
            <a:extLst>
              <a:ext uri="{FF2B5EF4-FFF2-40B4-BE49-F238E27FC236}">
                <a16:creationId xmlns:a16="http://schemas.microsoft.com/office/drawing/2014/main" id="{AB811411-DB51-55DF-14A8-CCDA608C23C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881847" y="1001094"/>
            <a:ext cx="256032" cy="256032"/>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0</xdr:colOff>
      <xdr:row>9</xdr:row>
      <xdr:rowOff>509998</xdr:rowOff>
    </xdr:from>
    <xdr:to>
      <xdr:col>11</xdr:col>
      <xdr:colOff>0</xdr:colOff>
      <xdr:row>10</xdr:row>
      <xdr:rowOff>206641</xdr:rowOff>
    </xdr:to>
    <xdr:pic>
      <xdr:nvPicPr>
        <xdr:cNvPr id="34" name="Picture 33">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0094" y="2491198"/>
          <a:ext cx="11860306" cy="404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19594</xdr:colOff>
      <xdr:row>5</xdr:row>
      <xdr:rowOff>0</xdr:rowOff>
    </xdr:from>
    <xdr:to>
      <xdr:col>11</xdr:col>
      <xdr:colOff>1949</xdr:colOff>
      <xdr:row>9</xdr:row>
      <xdr:rowOff>207358</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3139312" y="905435"/>
          <a:ext cx="11840712" cy="12012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600">
              <a:latin typeface="Arial Narrow" panose="020B0606020202030204" pitchFamily="34" charset="0"/>
            </a:rPr>
            <a:t>REPUBLIC OF THE PHILIPPINES</a:t>
          </a:r>
        </a:p>
        <a:p>
          <a:pPr algn="ctr"/>
          <a:r>
            <a:rPr lang="en-US" sz="1600">
              <a:latin typeface="Arial Narrow" panose="020B0606020202030204" pitchFamily="34" charset="0"/>
            </a:rPr>
            <a:t>DEPARTMENT</a:t>
          </a:r>
          <a:r>
            <a:rPr lang="en-US" sz="1600" baseline="0">
              <a:latin typeface="Arial Narrow" panose="020B0606020202030204" pitchFamily="34" charset="0"/>
            </a:rPr>
            <a:t> OF EDUCATION</a:t>
          </a:r>
        </a:p>
        <a:p>
          <a:pPr algn="ctr"/>
          <a:endParaRPr lang="en-US" sz="1600" baseline="0">
            <a:latin typeface="Arial Narrow" panose="020B0606020202030204" pitchFamily="34" charset="0"/>
          </a:endParaRPr>
        </a:p>
        <a:p>
          <a:pPr algn="ctr"/>
          <a:r>
            <a:rPr lang="en-US" sz="1800" b="1">
              <a:latin typeface="Arial Narrow" panose="020B0606020202030204" pitchFamily="34" charset="0"/>
            </a:rPr>
            <a:t>SENIOR HIGH SCHOOL STUDENT PERMANENT RECORD</a:t>
          </a:r>
        </a:p>
      </xdr:txBody>
    </xdr:sp>
    <xdr:clientData/>
  </xdr:twoCellAnchor>
  <xdr:twoCellAnchor editAs="oneCell">
    <xdr:from>
      <xdr:col>6</xdr:col>
      <xdr:colOff>144130</xdr:colOff>
      <xdr:row>5</xdr:row>
      <xdr:rowOff>125506</xdr:rowOff>
    </xdr:from>
    <xdr:to>
      <xdr:col>10</xdr:col>
      <xdr:colOff>216115</xdr:colOff>
      <xdr:row>9</xdr:row>
      <xdr:rowOff>213586</xdr:rowOff>
    </xdr:to>
    <xdr:grpSp>
      <xdr:nvGrpSpPr>
        <xdr:cNvPr id="46" name="Group 45">
          <a:extLst>
            <a:ext uri="{FF2B5EF4-FFF2-40B4-BE49-F238E27FC236}">
              <a16:creationId xmlns:a16="http://schemas.microsoft.com/office/drawing/2014/main" id="{00000000-0008-0000-0500-00002E000000}"/>
            </a:ext>
          </a:extLst>
        </xdr:cNvPr>
        <xdr:cNvGrpSpPr/>
      </xdr:nvGrpSpPr>
      <xdr:grpSpPr>
        <a:xfrm>
          <a:off x="4474083" y="1120588"/>
          <a:ext cx="9646291" cy="1074198"/>
          <a:chOff x="4643718" y="1039906"/>
          <a:chExt cx="9646291" cy="1083163"/>
        </a:xfrm>
      </xdr:grpSpPr>
      <xdr:pic>
        <xdr:nvPicPr>
          <xdr:cNvPr id="44" name="Picture 43">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2497490" y="1127944"/>
            <a:ext cx="1792519" cy="995125"/>
          </a:xfrm>
          <a:prstGeom prst="rect">
            <a:avLst/>
          </a:prstGeom>
          <a:noFill/>
          <a:ln w="9525">
            <a:noFill/>
            <a:miter lim="800000"/>
            <a:headEnd/>
            <a:tailEnd/>
          </a:ln>
        </xdr:spPr>
      </xdr:pic>
      <xdr:pic>
        <xdr:nvPicPr>
          <xdr:cNvPr id="45" name="Picture 44">
            <a:extLst>
              <a:ext uri="{FF2B5EF4-FFF2-40B4-BE49-F238E27FC236}">
                <a16:creationId xmlns:a16="http://schemas.microsoft.com/office/drawing/2014/main" id="{00000000-0008-0000-0500-00002D000000}"/>
              </a:ext>
            </a:extLst>
          </xdr:cNvPr>
          <xdr:cNvPicPr/>
        </xdr:nvPicPr>
        <xdr:blipFill>
          <a:blip xmlns:r="http://schemas.openxmlformats.org/officeDocument/2006/relationships" r:embed="rId3" cstate="print"/>
          <a:srcRect/>
          <a:stretch>
            <a:fillRect/>
          </a:stretch>
        </xdr:blipFill>
        <xdr:spPr bwMode="auto">
          <a:xfrm>
            <a:off x="4643718" y="1039906"/>
            <a:ext cx="1032056" cy="1001964"/>
          </a:xfrm>
          <a:prstGeom prst="rect">
            <a:avLst/>
          </a:prstGeom>
          <a:noFill/>
          <a:ln w="9525">
            <a:noFill/>
            <a:miter lim="800000"/>
            <a:headEnd/>
            <a:tailEnd/>
          </a:ln>
        </xdr:spPr>
      </xdr:pic>
    </xdr:grpSp>
    <xdr:clientData/>
  </xdr:twoCellAnchor>
  <xdr:twoCellAnchor editAs="oneCell">
    <xdr:from>
      <xdr:col>5</xdr:col>
      <xdr:colOff>0</xdr:colOff>
      <xdr:row>10</xdr:row>
      <xdr:rowOff>546842</xdr:rowOff>
    </xdr:from>
    <xdr:to>
      <xdr:col>11</xdr:col>
      <xdr:colOff>0</xdr:colOff>
      <xdr:row>13</xdr:row>
      <xdr:rowOff>116985</xdr:rowOff>
    </xdr:to>
    <xdr:pic>
      <xdr:nvPicPr>
        <xdr:cNvPr id="50" name="Picture 49">
          <a:extLst>
            <a:ext uri="{FF2B5EF4-FFF2-40B4-BE49-F238E27FC236}">
              <a16:creationId xmlns:a16="http://schemas.microsoft.com/office/drawing/2014/main" id="{00000000-0008-0000-0500-00003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092824" y="3155571"/>
          <a:ext cx="11860306" cy="1165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645455</xdr:colOff>
      <xdr:row>5</xdr:row>
      <xdr:rowOff>53791</xdr:rowOff>
    </xdr:from>
    <xdr:to>
      <xdr:col>10</xdr:col>
      <xdr:colOff>662823</xdr:colOff>
      <xdr:row>6</xdr:row>
      <xdr:rowOff>64726</xdr:rowOff>
    </xdr:to>
    <xdr:sp macro="" textlink="">
      <xdr:nvSpPr>
        <xdr:cNvPr id="51" name="TextBox 50">
          <a:extLst>
            <a:ext uri="{FF2B5EF4-FFF2-40B4-BE49-F238E27FC236}">
              <a16:creationId xmlns:a16="http://schemas.microsoft.com/office/drawing/2014/main" id="{00000000-0008-0000-0500-000033000000}"/>
            </a:ext>
          </a:extLst>
        </xdr:cNvPr>
        <xdr:cNvSpPr txBox="1"/>
      </xdr:nvSpPr>
      <xdr:spPr>
        <a:xfrm>
          <a:off x="13823573" y="959226"/>
          <a:ext cx="1037785"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a:latin typeface="Arial Narrow" panose="020B0606020202030204" pitchFamily="34" charset="0"/>
            </a:rPr>
            <a:t>DepEd</a:t>
          </a:r>
          <a:r>
            <a:rPr lang="en-US" sz="1200" b="1" baseline="0">
              <a:latin typeface="Arial Narrow" panose="020B0606020202030204" pitchFamily="34" charset="0"/>
            </a:rPr>
            <a:t> SHS-SF10</a:t>
          </a:r>
          <a:endParaRPr lang="en-US" sz="1200" b="1">
            <a:latin typeface="Arial Narrow" panose="020B0606020202030204" pitchFamily="34" charset="0"/>
          </a:endParaRPr>
        </a:p>
      </xdr:txBody>
    </xdr:sp>
    <xdr:clientData/>
  </xdr:twoCellAnchor>
  <xdr:twoCellAnchor editAs="oneCell">
    <xdr:from>
      <xdr:col>5</xdr:col>
      <xdr:colOff>0</xdr:colOff>
      <xdr:row>9</xdr:row>
      <xdr:rowOff>241304</xdr:rowOff>
    </xdr:from>
    <xdr:to>
      <xdr:col>11</xdr:col>
      <xdr:colOff>1</xdr:colOff>
      <xdr:row>14</xdr:row>
      <xdr:rowOff>153149</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796988" y="2222504"/>
          <a:ext cx="11860307" cy="2395069"/>
          <a:chOff x="3092824" y="2141822"/>
          <a:chExt cx="11860306" cy="2395068"/>
        </a:xfrm>
      </xdr:grpSpPr>
      <xdr:sp macro="" textlink="">
        <xdr:nvSpPr>
          <xdr:cNvPr id="47" name="TextBox 46">
            <a:extLst>
              <a:ext uri="{FF2B5EF4-FFF2-40B4-BE49-F238E27FC236}">
                <a16:creationId xmlns:a16="http://schemas.microsoft.com/office/drawing/2014/main" id="{00000000-0008-0000-0500-00002F000000}"/>
              </a:ext>
            </a:extLst>
          </xdr:cNvPr>
          <xdr:cNvSpPr txBox="1">
            <a:spLocks noChangeAspect="1"/>
          </xdr:cNvSpPr>
        </xdr:nvSpPr>
        <xdr:spPr>
          <a:xfrm>
            <a:off x="3092824" y="2141822"/>
            <a:ext cx="11860306" cy="197972"/>
          </a:xfrm>
          <a:prstGeom prst="rect">
            <a:avLst/>
          </a:prstGeom>
          <a:solidFill>
            <a:srgbClr val="BFBFB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latin typeface="Arial Narrow" panose="020B0606020202030204" pitchFamily="34" charset="0"/>
              </a:rPr>
              <a:t>LEARNER'S</a:t>
            </a:r>
            <a:r>
              <a:rPr lang="en-US" sz="1200" b="1" baseline="0">
                <a:latin typeface="Arial Narrow" panose="020B0606020202030204" pitchFamily="34" charset="0"/>
              </a:rPr>
              <a:t> INFORMATION</a:t>
            </a:r>
            <a:endParaRPr lang="en-US" sz="1200" b="1">
              <a:latin typeface="Arial Narrow" panose="020B0606020202030204" pitchFamily="34" charset="0"/>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a:spLocks noChangeAspect="1"/>
          </xdr:cNvSpPr>
        </xdr:nvSpPr>
        <xdr:spPr>
          <a:xfrm>
            <a:off x="3092824" y="2904562"/>
            <a:ext cx="11860306" cy="197972"/>
          </a:xfrm>
          <a:prstGeom prst="rect">
            <a:avLst/>
          </a:prstGeom>
          <a:solidFill>
            <a:srgbClr val="BFBFB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latin typeface="Arial Narrow" panose="020B0606020202030204" pitchFamily="34" charset="0"/>
              </a:rPr>
              <a:t>ELIGIBILITY FOR SHS ENROLMENT</a:t>
            </a:r>
          </a:p>
        </xdr:txBody>
      </xdr:sp>
      <xdr:sp macro="" textlink="">
        <xdr:nvSpPr>
          <xdr:cNvPr id="52" name="TextBox 51">
            <a:extLst>
              <a:ext uri="{FF2B5EF4-FFF2-40B4-BE49-F238E27FC236}">
                <a16:creationId xmlns:a16="http://schemas.microsoft.com/office/drawing/2014/main" id="{00000000-0008-0000-0500-000034000000}"/>
              </a:ext>
            </a:extLst>
          </xdr:cNvPr>
          <xdr:cNvSpPr txBox="1">
            <a:spLocks noChangeAspect="1"/>
          </xdr:cNvSpPr>
        </xdr:nvSpPr>
        <xdr:spPr>
          <a:xfrm>
            <a:off x="3092824" y="4338918"/>
            <a:ext cx="11860306" cy="197972"/>
          </a:xfrm>
          <a:prstGeom prst="rect">
            <a:avLst/>
          </a:prstGeom>
          <a:solidFill>
            <a:srgbClr val="BFBFB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latin typeface="Arial Narrow" panose="020B0606020202030204" pitchFamily="34" charset="0"/>
              </a:rPr>
              <a:t>SCHOLASTIC RECORD</a:t>
            </a:r>
          </a:p>
        </xdr:txBody>
      </xdr:sp>
    </xdr:grpSp>
    <xdr:clientData/>
  </xdr:twoCellAnchor>
  <xdr:twoCellAnchor editAs="oneCell">
    <xdr:from>
      <xdr:col>5</xdr:col>
      <xdr:colOff>-1</xdr:colOff>
      <xdr:row>15</xdr:row>
      <xdr:rowOff>0</xdr:rowOff>
    </xdr:from>
    <xdr:to>
      <xdr:col>11</xdr:col>
      <xdr:colOff>1919</xdr:colOff>
      <xdr:row>17</xdr:row>
      <xdr:rowOff>69633</xdr:rowOff>
    </xdr:to>
    <xdr:pic>
      <xdr:nvPicPr>
        <xdr:cNvPr id="53" name="Picture 52">
          <a:extLst>
            <a:ext uri="{FF2B5EF4-FFF2-40B4-BE49-F238E27FC236}">
              <a16:creationId xmlns:a16="http://schemas.microsoft.com/office/drawing/2014/main" id="{00000000-0008-0000-0500-00003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092823" y="4563035"/>
          <a:ext cx="11860305" cy="4282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xdr:colOff>
      <xdr:row>31</xdr:row>
      <xdr:rowOff>26894</xdr:rowOff>
    </xdr:from>
    <xdr:to>
      <xdr:col>11</xdr:col>
      <xdr:colOff>1919</xdr:colOff>
      <xdr:row>38</xdr:row>
      <xdr:rowOff>182561</xdr:rowOff>
    </xdr:to>
    <xdr:pic>
      <xdr:nvPicPr>
        <xdr:cNvPr id="54" name="Picture 53">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92823" y="8247529"/>
          <a:ext cx="11860305" cy="1330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xdr:colOff>
      <xdr:row>45</xdr:row>
      <xdr:rowOff>26895</xdr:rowOff>
    </xdr:from>
    <xdr:to>
      <xdr:col>11</xdr:col>
      <xdr:colOff>1919</xdr:colOff>
      <xdr:row>51</xdr:row>
      <xdr:rowOff>37183</xdr:rowOff>
    </xdr:to>
    <xdr:pic>
      <xdr:nvPicPr>
        <xdr:cNvPr id="56" name="Picture 55">
          <a:extLst>
            <a:ext uri="{FF2B5EF4-FFF2-40B4-BE49-F238E27FC236}">
              <a16:creationId xmlns:a16="http://schemas.microsoft.com/office/drawing/2014/main" id="{00000000-0008-0000-05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092823" y="11232777"/>
          <a:ext cx="11860305" cy="10860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xdr:colOff>
      <xdr:row>64</xdr:row>
      <xdr:rowOff>41556</xdr:rowOff>
    </xdr:from>
    <xdr:to>
      <xdr:col>11</xdr:col>
      <xdr:colOff>1947</xdr:colOff>
      <xdr:row>71</xdr:row>
      <xdr:rowOff>159026</xdr:rowOff>
    </xdr:to>
    <xdr:pic>
      <xdr:nvPicPr>
        <xdr:cNvPr id="57" name="Picture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92823" y="15487744"/>
          <a:ext cx="11860305" cy="1330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xdr:row>
      <xdr:rowOff>17925</xdr:rowOff>
    </xdr:from>
    <xdr:to>
      <xdr:col>11</xdr:col>
      <xdr:colOff>1920</xdr:colOff>
      <xdr:row>79</xdr:row>
      <xdr:rowOff>161364</xdr:rowOff>
    </xdr:to>
    <xdr:pic>
      <xdr:nvPicPr>
        <xdr:cNvPr id="58" name="Picture 57">
          <a:extLst>
            <a:ext uri="{FF2B5EF4-FFF2-40B4-BE49-F238E27FC236}">
              <a16:creationId xmlns:a16="http://schemas.microsoft.com/office/drawing/2014/main" id="{00000000-0008-0000-0500-00003A000000}"/>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t="-1" b="70284"/>
        <a:stretch/>
      </xdr:blipFill>
      <xdr:spPr bwMode="auto">
        <a:xfrm>
          <a:off x="3092824" y="18449360"/>
          <a:ext cx="11860305" cy="3227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810719</xdr:colOff>
      <xdr:row>9</xdr:row>
      <xdr:rowOff>539831</xdr:rowOff>
    </xdr:from>
    <xdr:to>
      <xdr:col>6</xdr:col>
      <xdr:colOff>1656539</xdr:colOff>
      <xdr:row>9</xdr:row>
      <xdr:rowOff>704423</xdr:rowOff>
    </xdr:to>
    <xdr:sp macro="" textlink="LastName">
      <xdr:nvSpPr>
        <xdr:cNvPr id="2" name="TextBox 1">
          <a:extLst>
            <a:ext uri="{FF2B5EF4-FFF2-40B4-BE49-F238E27FC236}">
              <a16:creationId xmlns:a16="http://schemas.microsoft.com/office/drawing/2014/main" id="{00000000-0008-0000-0500-000002000000}"/>
            </a:ext>
          </a:extLst>
        </xdr:cNvPr>
        <xdr:cNvSpPr txBox="1">
          <a:spLocks/>
        </xdr:cNvSpPr>
      </xdr:nvSpPr>
      <xdr:spPr>
        <a:xfrm>
          <a:off x="3584399" y="2521031"/>
          <a:ext cx="23774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0AC2A00-8671-453D-AFFE-3A1020456C19}" type="TxLink">
            <a:rPr lang="en-US" sz="1100" b="1" i="0" u="none" strike="noStrike">
              <a:solidFill>
                <a:srgbClr val="000000"/>
              </a:solidFill>
              <a:latin typeface="Arial Narrow"/>
            </a:rPr>
            <a:pPr/>
            <a:t>ROBBIE</a:t>
          </a:fld>
          <a:endParaRPr lang="en-US" sz="1100" b="1">
            <a:latin typeface="Arial Narrow" panose="020B0606020202030204" pitchFamily="34" charset="0"/>
          </a:endParaRPr>
        </a:p>
      </xdr:txBody>
    </xdr:sp>
    <xdr:clientData/>
  </xdr:twoCellAnchor>
  <xdr:twoCellAnchor editAs="oneCell">
    <xdr:from>
      <xdr:col>6</xdr:col>
      <xdr:colOff>3038020</xdr:colOff>
      <xdr:row>9</xdr:row>
      <xdr:rowOff>539831</xdr:rowOff>
    </xdr:from>
    <xdr:to>
      <xdr:col>6</xdr:col>
      <xdr:colOff>5415460</xdr:colOff>
      <xdr:row>9</xdr:row>
      <xdr:rowOff>704423</xdr:rowOff>
    </xdr:to>
    <xdr:sp macro="" textlink="FirstName">
      <xdr:nvSpPr>
        <xdr:cNvPr id="3" name="TextBox 2">
          <a:extLst>
            <a:ext uri="{FF2B5EF4-FFF2-40B4-BE49-F238E27FC236}">
              <a16:creationId xmlns:a16="http://schemas.microsoft.com/office/drawing/2014/main" id="{00000000-0008-0000-0500-000003000000}"/>
            </a:ext>
          </a:extLst>
        </xdr:cNvPr>
        <xdr:cNvSpPr txBox="1">
          <a:spLocks/>
        </xdr:cNvSpPr>
      </xdr:nvSpPr>
      <xdr:spPr>
        <a:xfrm>
          <a:off x="7343320" y="2521031"/>
          <a:ext cx="23774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0A081C5F-FC56-40A7-A8BB-05C176A7A726}" type="TxLink">
            <a:rPr lang="en-US" sz="1100" b="1" i="0" u="none" strike="noStrike">
              <a:solidFill>
                <a:srgbClr val="000000"/>
              </a:solidFill>
              <a:latin typeface="Arial Narrow"/>
            </a:rPr>
            <a:pPr/>
            <a:t>MARGOT</a:t>
          </a:fld>
          <a:endParaRPr lang="en-US" sz="1100" b="1">
            <a:latin typeface="Arial Narrow" panose="020B0606020202030204" pitchFamily="34" charset="0"/>
          </a:endParaRPr>
        </a:p>
      </xdr:txBody>
    </xdr:sp>
    <xdr:clientData/>
  </xdr:twoCellAnchor>
  <xdr:twoCellAnchor editAs="oneCell">
    <xdr:from>
      <xdr:col>8</xdr:col>
      <xdr:colOff>170325</xdr:colOff>
      <xdr:row>9</xdr:row>
      <xdr:rowOff>539831</xdr:rowOff>
    </xdr:from>
    <xdr:to>
      <xdr:col>10</xdr:col>
      <xdr:colOff>718965</xdr:colOff>
      <xdr:row>9</xdr:row>
      <xdr:rowOff>704423</xdr:rowOff>
    </xdr:to>
    <xdr:sp macro="" textlink="MiddleName">
      <xdr:nvSpPr>
        <xdr:cNvPr id="4" name="TextBox 3">
          <a:extLst>
            <a:ext uri="{FF2B5EF4-FFF2-40B4-BE49-F238E27FC236}">
              <a16:creationId xmlns:a16="http://schemas.microsoft.com/office/drawing/2014/main" id="{00000000-0008-0000-0500-000004000000}"/>
            </a:ext>
          </a:extLst>
        </xdr:cNvPr>
        <xdr:cNvSpPr txBox="1">
          <a:spLocks/>
        </xdr:cNvSpPr>
      </xdr:nvSpPr>
      <xdr:spPr>
        <a:xfrm>
          <a:off x="12217545" y="2521031"/>
          <a:ext cx="23774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6DBEF7CF-C566-4C52-99C3-940AD91B56E5}" type="TxLink">
            <a:rPr lang="en-US" sz="1100" b="1" i="0" u="none" strike="noStrike">
              <a:solidFill>
                <a:srgbClr val="000000"/>
              </a:solidFill>
              <a:latin typeface="Arial Narrow"/>
            </a:rPr>
            <a:pPr/>
            <a:t>ELIZABETH</a:t>
          </a:fld>
          <a:endParaRPr lang="en-US" sz="1100" b="1">
            <a:latin typeface="Arial Narrow" panose="020B0606020202030204" pitchFamily="34" charset="0"/>
          </a:endParaRPr>
        </a:p>
      </xdr:txBody>
    </xdr:sp>
    <xdr:clientData/>
  </xdr:twoCellAnchor>
  <xdr:twoCellAnchor editAs="oneCell">
    <xdr:from>
      <xdr:col>5</xdr:col>
      <xdr:colOff>348772</xdr:colOff>
      <xdr:row>10</xdr:row>
      <xdr:rowOff>26333</xdr:rowOff>
    </xdr:from>
    <xdr:to>
      <xdr:col>5</xdr:col>
      <xdr:colOff>1227201</xdr:colOff>
      <xdr:row>10</xdr:row>
      <xdr:rowOff>190925</xdr:rowOff>
    </xdr:to>
    <xdr:sp macro="" textlink="LRN_SF10">
      <xdr:nvSpPr>
        <xdr:cNvPr id="5" name="TextBox 4">
          <a:extLst>
            <a:ext uri="{FF2B5EF4-FFF2-40B4-BE49-F238E27FC236}">
              <a16:creationId xmlns:a16="http://schemas.microsoft.com/office/drawing/2014/main" id="{00000000-0008-0000-0500-000005000000}"/>
            </a:ext>
          </a:extLst>
        </xdr:cNvPr>
        <xdr:cNvSpPr txBox="1">
          <a:spLocks/>
        </xdr:cNvSpPr>
      </xdr:nvSpPr>
      <xdr:spPr>
        <a:xfrm>
          <a:off x="3122452" y="2716193"/>
          <a:ext cx="878429"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ABB7557-4738-46F0-80C7-9C702A7D3CEC}" type="TxLink">
            <a:rPr lang="en-US" sz="1100" b="1" i="0" u="none" strike="noStrike">
              <a:solidFill>
                <a:srgbClr val="000000"/>
              </a:solidFill>
              <a:latin typeface="Arial Narrow"/>
            </a:rPr>
            <a:pPr/>
            <a:t>127944090258</a:t>
          </a:fld>
          <a:endParaRPr lang="en-US" sz="1100" b="1">
            <a:latin typeface="Arial Narrow" panose="020B0606020202030204" pitchFamily="34" charset="0"/>
          </a:endParaRPr>
        </a:p>
      </xdr:txBody>
    </xdr:sp>
    <xdr:clientData/>
  </xdr:twoCellAnchor>
  <xdr:twoCellAnchor editAs="oneCell">
    <xdr:from>
      <xdr:col>6</xdr:col>
      <xdr:colOff>3433763</xdr:colOff>
      <xdr:row>10</xdr:row>
      <xdr:rowOff>26333</xdr:rowOff>
    </xdr:from>
    <xdr:to>
      <xdr:col>6</xdr:col>
      <xdr:colOff>4116116</xdr:colOff>
      <xdr:row>10</xdr:row>
      <xdr:rowOff>190925</xdr:rowOff>
    </xdr:to>
    <xdr:sp macro="" textlink="DOB">
      <xdr:nvSpPr>
        <xdr:cNvPr id="6" name="TextBox 5">
          <a:extLst>
            <a:ext uri="{FF2B5EF4-FFF2-40B4-BE49-F238E27FC236}">
              <a16:creationId xmlns:a16="http://schemas.microsoft.com/office/drawing/2014/main" id="{00000000-0008-0000-0500-000006000000}"/>
            </a:ext>
          </a:extLst>
        </xdr:cNvPr>
        <xdr:cNvSpPr txBox="1">
          <a:spLocks/>
        </xdr:cNvSpPr>
      </xdr:nvSpPr>
      <xdr:spPr>
        <a:xfrm>
          <a:off x="7739063" y="2716193"/>
          <a:ext cx="682353"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C1F1624-36D8-42D6-8870-0A7F4CA7D98A}" type="TxLink">
            <a:rPr lang="en-US" sz="1100" b="1" i="0" u="none" strike="noStrike">
              <a:solidFill>
                <a:srgbClr val="000000"/>
              </a:solidFill>
              <a:latin typeface="Arial Narrow"/>
            </a:rPr>
            <a:pPr/>
            <a:t>02/29/2000</a:t>
          </a:fld>
          <a:endParaRPr lang="en-US" sz="1100" b="1">
            <a:latin typeface="Arial Narrow" panose="020B0606020202030204" pitchFamily="34" charset="0"/>
          </a:endParaRPr>
        </a:p>
      </xdr:txBody>
    </xdr:sp>
    <xdr:clientData/>
  </xdr:twoCellAnchor>
  <xdr:twoCellAnchor editAs="oneCell">
    <xdr:from>
      <xdr:col>6</xdr:col>
      <xdr:colOff>5872164</xdr:colOff>
      <xdr:row>10</xdr:row>
      <xdr:rowOff>26333</xdr:rowOff>
    </xdr:from>
    <xdr:to>
      <xdr:col>6</xdr:col>
      <xdr:colOff>6299124</xdr:colOff>
      <xdr:row>10</xdr:row>
      <xdr:rowOff>190925</xdr:rowOff>
    </xdr:to>
    <xdr:sp macro="" textlink="Sex_SF10">
      <xdr:nvSpPr>
        <xdr:cNvPr id="8" name="TextBox 7">
          <a:extLst>
            <a:ext uri="{FF2B5EF4-FFF2-40B4-BE49-F238E27FC236}">
              <a16:creationId xmlns:a16="http://schemas.microsoft.com/office/drawing/2014/main" id="{00000000-0008-0000-0500-000008000000}"/>
            </a:ext>
          </a:extLst>
        </xdr:cNvPr>
        <xdr:cNvSpPr txBox="1">
          <a:spLocks/>
        </xdr:cNvSpPr>
      </xdr:nvSpPr>
      <xdr:spPr>
        <a:xfrm>
          <a:off x="10177464" y="2716193"/>
          <a:ext cx="42696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658C05C8-409A-41F1-B581-5815A088198F}" type="TxLink">
            <a:rPr lang="en-US" sz="1100" b="1" i="0" u="none" strike="noStrike">
              <a:solidFill>
                <a:srgbClr val="000000"/>
              </a:solidFill>
              <a:latin typeface="Arial Narrow"/>
            </a:rPr>
            <a:pPr/>
            <a:t>FEMALE</a:t>
          </a:fld>
          <a:endParaRPr lang="en-US" sz="1100" b="1">
            <a:latin typeface="Arial Narrow" panose="020B0606020202030204" pitchFamily="34" charset="0"/>
          </a:endParaRPr>
        </a:p>
      </xdr:txBody>
    </xdr:sp>
    <xdr:clientData/>
  </xdr:twoCellAnchor>
  <xdr:twoCellAnchor editAs="oneCell">
    <xdr:from>
      <xdr:col>9</xdr:col>
      <xdr:colOff>800101</xdr:colOff>
      <xdr:row>10</xdr:row>
      <xdr:rowOff>26333</xdr:rowOff>
    </xdr:from>
    <xdr:to>
      <xdr:col>10</xdr:col>
      <xdr:colOff>462048</xdr:colOff>
      <xdr:row>10</xdr:row>
      <xdr:rowOff>190925</xdr:rowOff>
    </xdr:to>
    <xdr:sp macro="" textlink="AdmissionDate">
      <xdr:nvSpPr>
        <xdr:cNvPr id="9" name="TextBox 8">
          <a:extLst>
            <a:ext uri="{FF2B5EF4-FFF2-40B4-BE49-F238E27FC236}">
              <a16:creationId xmlns:a16="http://schemas.microsoft.com/office/drawing/2014/main" id="{00000000-0008-0000-0500-000009000000}"/>
            </a:ext>
          </a:extLst>
        </xdr:cNvPr>
        <xdr:cNvSpPr txBox="1">
          <a:spLocks/>
        </xdr:cNvSpPr>
      </xdr:nvSpPr>
      <xdr:spPr>
        <a:xfrm>
          <a:off x="13655041" y="2716193"/>
          <a:ext cx="683027"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03E960CC-E3FA-4627-B1F8-17FC6C40FFA9}" type="TxLink">
            <a:rPr lang="en-US" sz="1100" b="1" i="0" u="none" strike="noStrike">
              <a:solidFill>
                <a:srgbClr val="000000"/>
              </a:solidFill>
              <a:latin typeface="Arial Narrow"/>
            </a:rPr>
            <a:pPr/>
            <a:t>08/30/2023</a:t>
          </a:fld>
          <a:endParaRPr lang="en-US" sz="1100" b="1">
            <a:latin typeface="Arial Narrow" panose="020B0606020202030204" pitchFamily="34" charset="0"/>
          </a:endParaRPr>
        </a:p>
      </xdr:txBody>
    </xdr:sp>
    <xdr:clientData/>
  </xdr:twoCellAnchor>
  <xdr:twoCellAnchor editAs="oneCell">
    <xdr:from>
      <xdr:col>5</xdr:col>
      <xdr:colOff>4762</xdr:colOff>
      <xdr:row>10</xdr:row>
      <xdr:rowOff>571298</xdr:rowOff>
    </xdr:from>
    <xdr:to>
      <xdr:col>5</xdr:col>
      <xdr:colOff>233361</xdr:colOff>
      <xdr:row>11</xdr:row>
      <xdr:rowOff>27230</xdr:rowOff>
    </xdr:to>
    <xdr:sp macro="" textlink="DATA_INPUT!$E$4">
      <xdr:nvSpPr>
        <xdr:cNvPr id="10" name="TextBox 9">
          <a:extLst>
            <a:ext uri="{FF2B5EF4-FFF2-40B4-BE49-F238E27FC236}">
              <a16:creationId xmlns:a16="http://schemas.microsoft.com/office/drawing/2014/main" id="{00000000-0008-0000-0500-00000A000000}"/>
            </a:ext>
          </a:extLst>
        </xdr:cNvPr>
        <xdr:cNvSpPr txBox="1">
          <a:spLocks/>
        </xdr:cNvSpPr>
      </xdr:nvSpPr>
      <xdr:spPr>
        <a:xfrm flipH="1">
          <a:off x="2778442" y="3261158"/>
          <a:ext cx="228599"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D373B8E3-89E3-42C1-807E-D74EF1D54BE1}" type="TxLink">
            <a:rPr lang="en-US" sz="1100" b="1" i="0" u="none" strike="noStrike">
              <a:solidFill>
                <a:srgbClr val="000000"/>
              </a:solidFill>
              <a:latin typeface="Arial Narrow"/>
            </a:rPr>
            <a:pPr algn="ctr"/>
            <a:t> </a:t>
          </a:fld>
          <a:endParaRPr lang="en-US" sz="1100" b="1">
            <a:latin typeface="Arial Narrow" panose="020B0606020202030204" pitchFamily="34" charset="0"/>
          </a:endParaRPr>
        </a:p>
      </xdr:txBody>
    </xdr:sp>
    <xdr:clientData/>
  </xdr:twoCellAnchor>
  <xdr:twoCellAnchor editAs="oneCell">
    <xdr:from>
      <xdr:col>6</xdr:col>
      <xdr:colOff>976300</xdr:colOff>
      <xdr:row>10</xdr:row>
      <xdr:rowOff>571299</xdr:rowOff>
    </xdr:from>
    <xdr:to>
      <xdr:col>6</xdr:col>
      <xdr:colOff>1433500</xdr:colOff>
      <xdr:row>11</xdr:row>
      <xdr:rowOff>27231</xdr:rowOff>
    </xdr:to>
    <xdr:sp macro="" textlink="DATA_INPUT!$G$4">
      <xdr:nvSpPr>
        <xdr:cNvPr id="11" name="TextBox 10">
          <a:extLst>
            <a:ext uri="{FF2B5EF4-FFF2-40B4-BE49-F238E27FC236}">
              <a16:creationId xmlns:a16="http://schemas.microsoft.com/office/drawing/2014/main" id="{00000000-0008-0000-0500-00000B000000}"/>
            </a:ext>
          </a:extLst>
        </xdr:cNvPr>
        <xdr:cNvSpPr txBox="1">
          <a:spLocks/>
        </xdr:cNvSpPr>
      </xdr:nvSpPr>
      <xdr:spPr>
        <a:xfrm>
          <a:off x="5281600" y="3261159"/>
          <a:ext cx="45720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031D9052-9E4F-4A3C-95F1-5654D1AD0FA0}"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6</xdr:col>
      <xdr:colOff>1928650</xdr:colOff>
      <xdr:row>10</xdr:row>
      <xdr:rowOff>571298</xdr:rowOff>
    </xdr:from>
    <xdr:to>
      <xdr:col>6</xdr:col>
      <xdr:colOff>2157249</xdr:colOff>
      <xdr:row>11</xdr:row>
      <xdr:rowOff>27230</xdr:rowOff>
    </xdr:to>
    <xdr:sp macro="" textlink="DATA_INPUT!$E$5">
      <xdr:nvSpPr>
        <xdr:cNvPr id="12" name="TextBox 11">
          <a:extLst>
            <a:ext uri="{FF2B5EF4-FFF2-40B4-BE49-F238E27FC236}">
              <a16:creationId xmlns:a16="http://schemas.microsoft.com/office/drawing/2014/main" id="{00000000-0008-0000-0500-00000C000000}"/>
            </a:ext>
          </a:extLst>
        </xdr:cNvPr>
        <xdr:cNvSpPr txBox="1">
          <a:spLocks/>
        </xdr:cNvSpPr>
      </xdr:nvSpPr>
      <xdr:spPr>
        <a:xfrm flipH="1">
          <a:off x="6233950" y="3261158"/>
          <a:ext cx="228599"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FD29BCC3-2866-4C6D-B568-3E73D02B7511}" type="TxLink">
            <a:rPr lang="en-US" sz="1100" b="1" i="0" u="none" strike="noStrike">
              <a:solidFill>
                <a:srgbClr val="000000"/>
              </a:solidFill>
              <a:latin typeface="Arial Narrow"/>
            </a:rPr>
            <a:pPr algn="ctr"/>
            <a:t>/</a:t>
          </a:fld>
          <a:endParaRPr lang="en-US" sz="1100" b="1">
            <a:latin typeface="Arial Narrow" panose="020B0606020202030204" pitchFamily="34" charset="0"/>
          </a:endParaRPr>
        </a:p>
      </xdr:txBody>
    </xdr:sp>
    <xdr:clientData/>
  </xdr:twoCellAnchor>
  <xdr:twoCellAnchor editAs="oneCell">
    <xdr:from>
      <xdr:col>6</xdr:col>
      <xdr:colOff>4724400</xdr:colOff>
      <xdr:row>10</xdr:row>
      <xdr:rowOff>581026</xdr:rowOff>
    </xdr:from>
    <xdr:to>
      <xdr:col>6</xdr:col>
      <xdr:colOff>5273040</xdr:colOff>
      <xdr:row>11</xdr:row>
      <xdr:rowOff>36958</xdr:rowOff>
    </xdr:to>
    <xdr:sp macro="" textlink="DATA_INPUT!$G$5">
      <xdr:nvSpPr>
        <xdr:cNvPr id="13" name="TextBox 12">
          <a:extLst>
            <a:ext uri="{FF2B5EF4-FFF2-40B4-BE49-F238E27FC236}">
              <a16:creationId xmlns:a16="http://schemas.microsoft.com/office/drawing/2014/main" id="{00000000-0008-0000-0500-00000D000000}"/>
            </a:ext>
          </a:extLst>
        </xdr:cNvPr>
        <xdr:cNvSpPr txBox="1">
          <a:spLocks/>
        </xdr:cNvSpPr>
      </xdr:nvSpPr>
      <xdr:spPr>
        <a:xfrm>
          <a:off x="9029700" y="3270886"/>
          <a:ext cx="5486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pPr marL="0" indent="0"/>
          <a:fld id="{04D25E72-E90C-43F2-A613-1ACBEEEC3D28}" type="TxLink">
            <a:rPr lang="en-US" sz="1100" b="1" i="0" u="none" strike="noStrike">
              <a:solidFill>
                <a:srgbClr val="000000"/>
              </a:solidFill>
              <a:latin typeface="Arial Narrow"/>
              <a:ea typeface="+mn-ea"/>
              <a:cs typeface="+mn-cs"/>
            </a:rPr>
            <a:pPr marL="0" indent="0"/>
            <a:t>80.00</a:t>
          </a:fld>
          <a:endParaRPr lang="en-US" sz="1100" b="1" i="0" u="none" strike="noStrike">
            <a:solidFill>
              <a:srgbClr val="000000"/>
            </a:solidFill>
            <a:latin typeface="Arial Narrow"/>
            <a:ea typeface="+mn-ea"/>
            <a:cs typeface="+mn-cs"/>
          </a:endParaRPr>
        </a:p>
      </xdr:txBody>
    </xdr:sp>
    <xdr:clientData/>
  </xdr:twoCellAnchor>
  <xdr:twoCellAnchor editAs="oneCell">
    <xdr:from>
      <xdr:col>6</xdr:col>
      <xdr:colOff>1371609</xdr:colOff>
      <xdr:row>11</xdr:row>
      <xdr:rowOff>66677</xdr:rowOff>
    </xdr:from>
    <xdr:to>
      <xdr:col>6</xdr:col>
      <xdr:colOff>2053962</xdr:colOff>
      <xdr:row>11</xdr:row>
      <xdr:rowOff>231269</xdr:rowOff>
    </xdr:to>
    <xdr:sp macro="" textlink="DATA_INPUT!$H$4">
      <xdr:nvSpPr>
        <xdr:cNvPr id="14" name="TextBox 13">
          <a:extLst>
            <a:ext uri="{FF2B5EF4-FFF2-40B4-BE49-F238E27FC236}">
              <a16:creationId xmlns:a16="http://schemas.microsoft.com/office/drawing/2014/main" id="{00000000-0008-0000-0500-00000E000000}"/>
            </a:ext>
          </a:extLst>
        </xdr:cNvPr>
        <xdr:cNvSpPr txBox="1">
          <a:spLocks/>
        </xdr:cNvSpPr>
      </xdr:nvSpPr>
      <xdr:spPr>
        <a:xfrm>
          <a:off x="5676909" y="3465197"/>
          <a:ext cx="682353"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415A44E-1FED-4065-BE04-CBBA0E516B63}" type="TxLink">
            <a:rPr lang="en-US" sz="1100" b="1" i="0" u="none" strike="noStrike">
              <a:solidFill>
                <a:srgbClr val="000000"/>
              </a:solidFill>
              <a:latin typeface="Arial Narrow"/>
            </a:rPr>
            <a:pPr/>
            <a:t>06/29/2022</a:t>
          </a:fld>
          <a:endParaRPr lang="en-US" sz="1100" b="1">
            <a:latin typeface="Arial Narrow" panose="020B0606020202030204" pitchFamily="34" charset="0"/>
          </a:endParaRPr>
        </a:p>
      </xdr:txBody>
    </xdr:sp>
    <xdr:clientData/>
  </xdr:twoCellAnchor>
  <xdr:twoCellAnchor editAs="oneCell">
    <xdr:from>
      <xdr:col>6</xdr:col>
      <xdr:colOff>3238507</xdr:colOff>
      <xdr:row>11</xdr:row>
      <xdr:rowOff>66676</xdr:rowOff>
    </xdr:from>
    <xdr:to>
      <xdr:col>6</xdr:col>
      <xdr:colOff>5483609</xdr:colOff>
      <xdr:row>11</xdr:row>
      <xdr:rowOff>231268</xdr:rowOff>
    </xdr:to>
    <xdr:sp macro="" textlink="DATA_INPUT!$I$4">
      <xdr:nvSpPr>
        <xdr:cNvPr id="15" name="TextBox 14">
          <a:extLst>
            <a:ext uri="{FF2B5EF4-FFF2-40B4-BE49-F238E27FC236}">
              <a16:creationId xmlns:a16="http://schemas.microsoft.com/office/drawing/2014/main" id="{00000000-0008-0000-0500-00000F000000}"/>
            </a:ext>
          </a:extLst>
        </xdr:cNvPr>
        <xdr:cNvSpPr txBox="1">
          <a:spLocks/>
        </xdr:cNvSpPr>
      </xdr:nvSpPr>
      <xdr:spPr>
        <a:xfrm>
          <a:off x="7543807" y="3465196"/>
          <a:ext cx="2245102"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46DF21BC-4DAC-4681-A2D7-4D03703BB832}" type="TxLink">
            <a:rPr lang="en-US" sz="1100" b="1" i="0" u="none" strike="noStrike">
              <a:solidFill>
                <a:srgbClr val="000000"/>
              </a:solidFill>
              <a:latin typeface="Arial Narrow"/>
            </a:rPr>
            <a:pPr/>
            <a:t>LAPASAN NATIONAL HIGH SCHOOL</a:t>
          </a:fld>
          <a:endParaRPr lang="en-US" sz="1100" b="1">
            <a:latin typeface="Arial Narrow" panose="020B0606020202030204" pitchFamily="34" charset="0"/>
          </a:endParaRPr>
        </a:p>
      </xdr:txBody>
    </xdr:sp>
    <xdr:clientData/>
  </xdr:twoCellAnchor>
  <xdr:twoCellAnchor editAs="oneCell">
    <xdr:from>
      <xdr:col>7</xdr:col>
      <xdr:colOff>495301</xdr:colOff>
      <xdr:row>11</xdr:row>
      <xdr:rowOff>66676</xdr:rowOff>
    </xdr:from>
    <xdr:to>
      <xdr:col>10</xdr:col>
      <xdr:colOff>694317</xdr:colOff>
      <xdr:row>11</xdr:row>
      <xdr:rowOff>231268</xdr:rowOff>
    </xdr:to>
    <xdr:sp macro="" textlink="DATA_INPUT!$J$4">
      <xdr:nvSpPr>
        <xdr:cNvPr id="16" name="TextBox 15">
          <a:extLst>
            <a:ext uri="{FF2B5EF4-FFF2-40B4-BE49-F238E27FC236}">
              <a16:creationId xmlns:a16="http://schemas.microsoft.com/office/drawing/2014/main" id="{00000000-0008-0000-0500-000010000000}"/>
            </a:ext>
          </a:extLst>
        </xdr:cNvPr>
        <xdr:cNvSpPr txBox="1">
          <a:spLocks/>
        </xdr:cNvSpPr>
      </xdr:nvSpPr>
      <xdr:spPr>
        <a:xfrm>
          <a:off x="11763936" y="3464300"/>
          <a:ext cx="28346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b">
          <a:noAutofit/>
        </a:bodyPr>
        <a:lstStyle/>
        <a:p>
          <a:fld id="{3A3A378A-61CE-4E0A-92BE-03B22A3D90A7}" type="TxLink">
            <a:rPr lang="en-US" sz="1000" b="1" i="0" u="none" strike="noStrike">
              <a:solidFill>
                <a:srgbClr val="000000"/>
              </a:solidFill>
              <a:latin typeface="Arial Narrow"/>
            </a:rPr>
            <a:pPr/>
            <a:t>Lapasan, Cagayan de Oro City</a:t>
          </a:fld>
          <a:endParaRPr lang="en-US" sz="1100" b="1">
            <a:latin typeface="Arial Narrow" panose="020B0606020202030204" pitchFamily="34" charset="0"/>
          </a:endParaRPr>
        </a:p>
      </xdr:txBody>
    </xdr:sp>
    <xdr:clientData/>
  </xdr:twoCellAnchor>
  <xdr:twoCellAnchor editAs="oneCell">
    <xdr:from>
      <xdr:col>6</xdr:col>
      <xdr:colOff>1928650</xdr:colOff>
      <xdr:row>11</xdr:row>
      <xdr:rowOff>292891</xdr:rowOff>
    </xdr:from>
    <xdr:to>
      <xdr:col>6</xdr:col>
      <xdr:colOff>2157249</xdr:colOff>
      <xdr:row>11</xdr:row>
      <xdr:rowOff>457483</xdr:rowOff>
    </xdr:to>
    <xdr:sp macro="" textlink="DATA_INPUT!$E$7">
      <xdr:nvSpPr>
        <xdr:cNvPr id="17" name="TextBox 16">
          <a:extLst>
            <a:ext uri="{FF2B5EF4-FFF2-40B4-BE49-F238E27FC236}">
              <a16:creationId xmlns:a16="http://schemas.microsoft.com/office/drawing/2014/main" id="{00000000-0008-0000-0500-000011000000}"/>
            </a:ext>
          </a:extLst>
        </xdr:cNvPr>
        <xdr:cNvSpPr txBox="1">
          <a:spLocks/>
        </xdr:cNvSpPr>
      </xdr:nvSpPr>
      <xdr:spPr>
        <a:xfrm flipH="1">
          <a:off x="6233950" y="3691411"/>
          <a:ext cx="228599"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38D5EAFD-E0CB-4F30-B7CB-028FC959CD2F}" type="TxLink">
            <a:rPr lang="en-US" sz="1100" b="1" i="0" u="none" strike="noStrike">
              <a:solidFill>
                <a:srgbClr val="000000"/>
              </a:solidFill>
              <a:latin typeface="Arial Narrow"/>
            </a:rPr>
            <a:pPr algn="ctr"/>
            <a:t> </a:t>
          </a:fld>
          <a:endParaRPr lang="en-US" sz="1100" b="1">
            <a:latin typeface="Arial Narrow" panose="020B0606020202030204" pitchFamily="34" charset="0"/>
          </a:endParaRPr>
        </a:p>
      </xdr:txBody>
    </xdr:sp>
    <xdr:clientData/>
  </xdr:twoCellAnchor>
  <xdr:twoCellAnchor editAs="oneCell">
    <xdr:from>
      <xdr:col>6</xdr:col>
      <xdr:colOff>384944</xdr:colOff>
      <xdr:row>11</xdr:row>
      <xdr:rowOff>298146</xdr:rowOff>
    </xdr:from>
    <xdr:to>
      <xdr:col>6</xdr:col>
      <xdr:colOff>509465</xdr:colOff>
      <xdr:row>11</xdr:row>
      <xdr:rowOff>462738</xdr:rowOff>
    </xdr:to>
    <xdr:sp macro="" textlink="DATA_INPUT!$G$6">
      <xdr:nvSpPr>
        <xdr:cNvPr id="18" name="TextBox 17">
          <a:extLst>
            <a:ext uri="{FF2B5EF4-FFF2-40B4-BE49-F238E27FC236}">
              <a16:creationId xmlns:a16="http://schemas.microsoft.com/office/drawing/2014/main" id="{00000000-0008-0000-0500-000012000000}"/>
            </a:ext>
          </a:extLst>
        </xdr:cNvPr>
        <xdr:cNvSpPr txBox="1">
          <a:spLocks/>
        </xdr:cNvSpPr>
      </xdr:nvSpPr>
      <xdr:spPr>
        <a:xfrm>
          <a:off x="4690244" y="3696666"/>
          <a:ext cx="124521"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3789BAF-AA64-4A2C-88DB-9666BDECD348}"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6</xdr:col>
      <xdr:colOff>3836275</xdr:colOff>
      <xdr:row>11</xdr:row>
      <xdr:rowOff>299545</xdr:rowOff>
    </xdr:from>
    <xdr:to>
      <xdr:col>6</xdr:col>
      <xdr:colOff>3960796</xdr:colOff>
      <xdr:row>11</xdr:row>
      <xdr:rowOff>464137</xdr:rowOff>
    </xdr:to>
    <xdr:sp macro="" textlink="DATA_INPUT!$G$7">
      <xdr:nvSpPr>
        <xdr:cNvPr id="19" name="TextBox 18">
          <a:extLst>
            <a:ext uri="{FF2B5EF4-FFF2-40B4-BE49-F238E27FC236}">
              <a16:creationId xmlns:a16="http://schemas.microsoft.com/office/drawing/2014/main" id="{00000000-0008-0000-0500-000013000000}"/>
            </a:ext>
          </a:extLst>
        </xdr:cNvPr>
        <xdr:cNvSpPr txBox="1">
          <a:spLocks/>
        </xdr:cNvSpPr>
      </xdr:nvSpPr>
      <xdr:spPr>
        <a:xfrm>
          <a:off x="8141575" y="3698065"/>
          <a:ext cx="124521"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0A2BF3D9-4EA1-4CAF-9A19-BAC56F48F892}"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6</xdr:col>
      <xdr:colOff>6243144</xdr:colOff>
      <xdr:row>11</xdr:row>
      <xdr:rowOff>299545</xdr:rowOff>
    </xdr:from>
    <xdr:to>
      <xdr:col>6</xdr:col>
      <xdr:colOff>6335542</xdr:colOff>
      <xdr:row>11</xdr:row>
      <xdr:rowOff>464137</xdr:rowOff>
    </xdr:to>
    <xdr:sp macro="" textlink="">
      <xdr:nvSpPr>
        <xdr:cNvPr id="21" name="TextBox 20">
          <a:extLst>
            <a:ext uri="{FF2B5EF4-FFF2-40B4-BE49-F238E27FC236}">
              <a16:creationId xmlns:a16="http://schemas.microsoft.com/office/drawing/2014/main" id="{00000000-0008-0000-0500-000015000000}"/>
            </a:ext>
          </a:extLst>
        </xdr:cNvPr>
        <xdr:cNvSpPr txBox="1">
          <a:spLocks/>
        </xdr:cNvSpPr>
      </xdr:nvSpPr>
      <xdr:spPr>
        <a:xfrm>
          <a:off x="10548444" y="3698065"/>
          <a:ext cx="92398"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pPr marL="0" indent="0"/>
          <a:endParaRPr lang="en-US" sz="1100" b="1" i="0" u="none" strike="noStrike">
            <a:solidFill>
              <a:srgbClr val="000000"/>
            </a:solidFill>
            <a:latin typeface="Arial Narrow"/>
            <a:ea typeface="+mn-ea"/>
            <a:cs typeface="+mn-cs"/>
          </a:endParaRPr>
        </a:p>
      </xdr:txBody>
    </xdr:sp>
    <xdr:clientData/>
  </xdr:twoCellAnchor>
  <xdr:twoCellAnchor editAs="oneCell">
    <xdr:from>
      <xdr:col>6</xdr:col>
      <xdr:colOff>4729655</xdr:colOff>
      <xdr:row>11</xdr:row>
      <xdr:rowOff>292891</xdr:rowOff>
    </xdr:from>
    <xdr:to>
      <xdr:col>6</xdr:col>
      <xdr:colOff>4958254</xdr:colOff>
      <xdr:row>11</xdr:row>
      <xdr:rowOff>457483</xdr:rowOff>
    </xdr:to>
    <xdr:sp macro="" textlink="DATA_INPUT!$E$8">
      <xdr:nvSpPr>
        <xdr:cNvPr id="22" name="TextBox 21">
          <a:extLst>
            <a:ext uri="{FF2B5EF4-FFF2-40B4-BE49-F238E27FC236}">
              <a16:creationId xmlns:a16="http://schemas.microsoft.com/office/drawing/2014/main" id="{00000000-0008-0000-0500-000016000000}"/>
            </a:ext>
          </a:extLst>
        </xdr:cNvPr>
        <xdr:cNvSpPr txBox="1">
          <a:spLocks/>
        </xdr:cNvSpPr>
      </xdr:nvSpPr>
      <xdr:spPr>
        <a:xfrm flipH="1">
          <a:off x="9034955" y="3691411"/>
          <a:ext cx="228599"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A52F81F3-E13D-4EDD-B511-886A78A9BA45}" type="TxLink">
            <a:rPr lang="en-US" sz="1100" b="1" i="0" u="none" strike="noStrike">
              <a:solidFill>
                <a:srgbClr val="000000"/>
              </a:solidFill>
              <a:latin typeface="Arial Narrow"/>
            </a:rPr>
            <a:pPr algn="ctr"/>
            <a:t> </a:t>
          </a:fld>
          <a:endParaRPr lang="en-US" sz="1100" b="1">
            <a:latin typeface="Arial Narrow" panose="020B0606020202030204" pitchFamily="34" charset="0"/>
          </a:endParaRPr>
        </a:p>
      </xdr:txBody>
    </xdr:sp>
    <xdr:clientData/>
  </xdr:twoCellAnchor>
  <xdr:twoCellAnchor editAs="oneCell">
    <xdr:from>
      <xdr:col>6</xdr:col>
      <xdr:colOff>1376855</xdr:colOff>
      <xdr:row>11</xdr:row>
      <xdr:rowOff>493986</xdr:rowOff>
    </xdr:from>
    <xdr:to>
      <xdr:col>6</xdr:col>
      <xdr:colOff>1501376</xdr:colOff>
      <xdr:row>11</xdr:row>
      <xdr:rowOff>658578</xdr:rowOff>
    </xdr:to>
    <xdr:sp macro="" textlink="DATA_INPUT!$H$6">
      <xdr:nvSpPr>
        <xdr:cNvPr id="23" name="TextBox 22">
          <a:extLst>
            <a:ext uri="{FF2B5EF4-FFF2-40B4-BE49-F238E27FC236}">
              <a16:creationId xmlns:a16="http://schemas.microsoft.com/office/drawing/2014/main" id="{00000000-0008-0000-0500-000017000000}"/>
            </a:ext>
          </a:extLst>
        </xdr:cNvPr>
        <xdr:cNvSpPr txBox="1">
          <a:spLocks/>
        </xdr:cNvSpPr>
      </xdr:nvSpPr>
      <xdr:spPr>
        <a:xfrm>
          <a:off x="5682155" y="3892506"/>
          <a:ext cx="124521"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6B2E10A-5CD1-4FDE-BA4D-2B3AFC18C9C0}"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6</xdr:col>
      <xdr:colOff>5880579</xdr:colOff>
      <xdr:row>11</xdr:row>
      <xdr:rowOff>493986</xdr:rowOff>
    </xdr:from>
    <xdr:to>
      <xdr:col>6</xdr:col>
      <xdr:colOff>6005100</xdr:colOff>
      <xdr:row>11</xdr:row>
      <xdr:rowOff>658578</xdr:rowOff>
    </xdr:to>
    <xdr:sp macro="" textlink="DATA_INPUT!$I$6">
      <xdr:nvSpPr>
        <xdr:cNvPr id="24" name="TextBox 23">
          <a:extLst>
            <a:ext uri="{FF2B5EF4-FFF2-40B4-BE49-F238E27FC236}">
              <a16:creationId xmlns:a16="http://schemas.microsoft.com/office/drawing/2014/main" id="{00000000-0008-0000-0500-000018000000}"/>
            </a:ext>
          </a:extLst>
        </xdr:cNvPr>
        <xdr:cNvSpPr txBox="1">
          <a:spLocks/>
        </xdr:cNvSpPr>
      </xdr:nvSpPr>
      <xdr:spPr>
        <a:xfrm>
          <a:off x="10185879" y="3892506"/>
          <a:ext cx="124521"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D2D095EC-3722-4F4F-B1B7-7EEBBB7AA958}"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5</xdr:col>
      <xdr:colOff>4761</xdr:colOff>
      <xdr:row>11</xdr:row>
      <xdr:rowOff>294291</xdr:rowOff>
    </xdr:from>
    <xdr:to>
      <xdr:col>5</xdr:col>
      <xdr:colOff>237155</xdr:colOff>
      <xdr:row>11</xdr:row>
      <xdr:rowOff>458883</xdr:rowOff>
    </xdr:to>
    <xdr:sp macro="" textlink="DATA_INPUT!$E$6">
      <xdr:nvSpPr>
        <xdr:cNvPr id="25" name="TextBox 24">
          <a:extLst>
            <a:ext uri="{FF2B5EF4-FFF2-40B4-BE49-F238E27FC236}">
              <a16:creationId xmlns:a16="http://schemas.microsoft.com/office/drawing/2014/main" id="{00000000-0008-0000-0500-000019000000}"/>
            </a:ext>
          </a:extLst>
        </xdr:cNvPr>
        <xdr:cNvSpPr txBox="1">
          <a:spLocks/>
        </xdr:cNvSpPr>
      </xdr:nvSpPr>
      <xdr:spPr>
        <a:xfrm flipH="1">
          <a:off x="2778441" y="3692811"/>
          <a:ext cx="232394"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9983650A-E4EB-4082-819E-6FFFDC0A8A37}" type="TxLink">
            <a:rPr lang="en-US" sz="1100" b="1" i="0" u="none" strike="noStrike">
              <a:solidFill>
                <a:srgbClr val="000000"/>
              </a:solidFill>
              <a:latin typeface="Arial Narrow"/>
            </a:rPr>
            <a:pPr algn="ctr"/>
            <a:t> </a:t>
          </a:fld>
          <a:endParaRPr lang="en-US" sz="1100" b="1">
            <a:latin typeface="Arial Narrow" panose="020B0606020202030204" pitchFamily="34" charset="0"/>
          </a:endParaRPr>
        </a:p>
      </xdr:txBody>
    </xdr:sp>
    <xdr:clientData/>
  </xdr:twoCellAnchor>
  <xdr:twoCellAnchor editAs="oneCell">
    <xdr:from>
      <xdr:col>5</xdr:col>
      <xdr:colOff>693684</xdr:colOff>
      <xdr:row>15</xdr:row>
      <xdr:rowOff>15766</xdr:rowOff>
    </xdr:from>
    <xdr:to>
      <xdr:col>6</xdr:col>
      <xdr:colOff>1602604</xdr:colOff>
      <xdr:row>16</xdr:row>
      <xdr:rowOff>9473</xdr:rowOff>
    </xdr:to>
    <xdr:sp macro="" textlink="DATA_INPUT!$C$22">
      <xdr:nvSpPr>
        <xdr:cNvPr id="26" name="TextBox 25">
          <a:extLst>
            <a:ext uri="{FF2B5EF4-FFF2-40B4-BE49-F238E27FC236}">
              <a16:creationId xmlns:a16="http://schemas.microsoft.com/office/drawing/2014/main" id="{00000000-0008-0000-0500-00001A000000}"/>
            </a:ext>
          </a:extLst>
        </xdr:cNvPr>
        <xdr:cNvSpPr txBox="1">
          <a:spLocks/>
        </xdr:cNvSpPr>
      </xdr:nvSpPr>
      <xdr:spPr>
        <a:xfrm>
          <a:off x="3470014" y="4680531"/>
          <a:ext cx="244054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C6BE0A4-92DD-4104-82CF-9D61E740331A}" type="TxLink">
            <a:rPr lang="en-US" sz="1200" b="1" i="0" u="none" strike="noStrike">
              <a:solidFill>
                <a:srgbClr val="000000"/>
              </a:solidFill>
              <a:latin typeface="Arial Narrow"/>
            </a:rPr>
            <a:pPr/>
            <a:t>EAST GUSA NATIONAL HIGH SCHOOL</a:t>
          </a:fld>
          <a:endParaRPr lang="en-US" sz="1200" b="1">
            <a:latin typeface="Arial Narrow" panose="020B0606020202030204" pitchFamily="34" charset="0"/>
          </a:endParaRPr>
        </a:p>
      </xdr:txBody>
    </xdr:sp>
    <xdr:clientData/>
  </xdr:twoCellAnchor>
  <xdr:twoCellAnchor editAs="oneCell">
    <xdr:from>
      <xdr:col>6</xdr:col>
      <xdr:colOff>4430115</xdr:colOff>
      <xdr:row>15</xdr:row>
      <xdr:rowOff>15766</xdr:rowOff>
    </xdr:from>
    <xdr:to>
      <xdr:col>6</xdr:col>
      <xdr:colOff>4943717</xdr:colOff>
      <xdr:row>16</xdr:row>
      <xdr:rowOff>9473</xdr:rowOff>
    </xdr:to>
    <xdr:sp macro="" textlink="DATA_INPUT!$C$23">
      <xdr:nvSpPr>
        <xdr:cNvPr id="27" name="TextBox 26">
          <a:extLst>
            <a:ext uri="{FF2B5EF4-FFF2-40B4-BE49-F238E27FC236}">
              <a16:creationId xmlns:a16="http://schemas.microsoft.com/office/drawing/2014/main" id="{00000000-0008-0000-0500-00001B000000}"/>
            </a:ext>
          </a:extLst>
        </xdr:cNvPr>
        <xdr:cNvSpPr txBox="1">
          <a:spLocks/>
        </xdr:cNvSpPr>
      </xdr:nvSpPr>
      <xdr:spPr>
        <a:xfrm>
          <a:off x="9055455" y="4572526"/>
          <a:ext cx="513602"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78C70954-837F-4682-B439-28532A67B0B0}" type="TxLink">
            <a:rPr lang="en-US" sz="1200" b="1" i="0" u="none" strike="noStrike">
              <a:solidFill>
                <a:srgbClr val="000000"/>
              </a:solidFill>
              <a:latin typeface="Arial Narrow"/>
            </a:rPr>
            <a:pPr/>
            <a:t>315407</a:t>
          </a:fld>
          <a:endParaRPr lang="en-US" sz="1200" b="1">
            <a:latin typeface="Arial Narrow" panose="020B0606020202030204" pitchFamily="34" charset="0"/>
          </a:endParaRPr>
        </a:p>
      </xdr:txBody>
    </xdr:sp>
    <xdr:clientData/>
  </xdr:twoCellAnchor>
  <xdr:twoCellAnchor editAs="oneCell">
    <xdr:from>
      <xdr:col>6</xdr:col>
      <xdr:colOff>6789678</xdr:colOff>
      <xdr:row>15</xdr:row>
      <xdr:rowOff>15766</xdr:rowOff>
    </xdr:from>
    <xdr:to>
      <xdr:col>7</xdr:col>
      <xdr:colOff>88234</xdr:colOff>
      <xdr:row>16</xdr:row>
      <xdr:rowOff>9473</xdr:rowOff>
    </xdr:to>
    <xdr:sp macro="" textlink="DATA_INPUT!$C$24">
      <xdr:nvSpPr>
        <xdr:cNvPr id="28" name="TextBox 27">
          <a:extLst>
            <a:ext uri="{FF2B5EF4-FFF2-40B4-BE49-F238E27FC236}">
              <a16:creationId xmlns:a16="http://schemas.microsoft.com/office/drawing/2014/main" id="{00000000-0008-0000-0500-00001C000000}"/>
            </a:ext>
          </a:extLst>
        </xdr:cNvPr>
        <xdr:cNvSpPr txBox="1">
          <a:spLocks/>
        </xdr:cNvSpPr>
      </xdr:nvSpPr>
      <xdr:spPr>
        <a:xfrm>
          <a:off x="11415018" y="4572526"/>
          <a:ext cx="232756"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5A68B0F-4532-4C16-B09B-C32DD179C51A}" type="TxLink">
            <a:rPr lang="en-US" sz="1200" b="1" i="0" u="none" strike="noStrike">
              <a:solidFill>
                <a:srgbClr val="000000"/>
              </a:solidFill>
              <a:latin typeface="Arial Narrow"/>
            </a:rPr>
            <a:pPr/>
            <a:t>12</a:t>
          </a:fld>
          <a:endParaRPr lang="en-US" sz="1200" b="1">
            <a:latin typeface="Arial Narrow" panose="020B0606020202030204" pitchFamily="34" charset="0"/>
          </a:endParaRPr>
        </a:p>
      </xdr:txBody>
    </xdr:sp>
    <xdr:clientData/>
  </xdr:twoCellAnchor>
  <xdr:twoCellAnchor editAs="oneCell">
    <xdr:from>
      <xdr:col>8</xdr:col>
      <xdr:colOff>325822</xdr:colOff>
      <xdr:row>15</xdr:row>
      <xdr:rowOff>15766</xdr:rowOff>
    </xdr:from>
    <xdr:to>
      <xdr:col>9</xdr:col>
      <xdr:colOff>214126</xdr:colOff>
      <xdr:row>16</xdr:row>
      <xdr:rowOff>9473</xdr:rowOff>
    </xdr:to>
    <xdr:sp macro="" textlink="DATA_INPUT!$C$25">
      <xdr:nvSpPr>
        <xdr:cNvPr id="29" name="TextBox 28">
          <a:extLst>
            <a:ext uri="{FF2B5EF4-FFF2-40B4-BE49-F238E27FC236}">
              <a16:creationId xmlns:a16="http://schemas.microsoft.com/office/drawing/2014/main" id="{00000000-0008-0000-0500-00001D000000}"/>
            </a:ext>
          </a:extLst>
        </xdr:cNvPr>
        <xdr:cNvSpPr txBox="1">
          <a:spLocks/>
        </xdr:cNvSpPr>
      </xdr:nvSpPr>
      <xdr:spPr>
        <a:xfrm>
          <a:off x="12693082" y="4572526"/>
          <a:ext cx="696024"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DADB679-579A-4C56-8BED-97F3C9F9F5D4}" type="TxLink">
            <a:rPr lang="en-US" sz="1200" b="1" i="0" u="none" strike="noStrike">
              <a:solidFill>
                <a:srgbClr val="000000"/>
              </a:solidFill>
              <a:latin typeface="Arial Narrow"/>
            </a:rPr>
            <a:pPr/>
            <a:t>2023-2024</a:t>
          </a:fld>
          <a:endParaRPr lang="en-US" sz="1200" b="1">
            <a:latin typeface="Arial Narrow" panose="020B0606020202030204" pitchFamily="34" charset="0"/>
          </a:endParaRPr>
        </a:p>
      </xdr:txBody>
    </xdr:sp>
    <xdr:clientData/>
  </xdr:twoCellAnchor>
  <xdr:twoCellAnchor editAs="oneCell">
    <xdr:from>
      <xdr:col>10</xdr:col>
      <xdr:colOff>241740</xdr:colOff>
      <xdr:row>15</xdr:row>
      <xdr:rowOff>15766</xdr:rowOff>
    </xdr:from>
    <xdr:to>
      <xdr:col>10</xdr:col>
      <xdr:colOff>565547</xdr:colOff>
      <xdr:row>16</xdr:row>
      <xdr:rowOff>9473</xdr:rowOff>
    </xdr:to>
    <xdr:sp macro="" textlink="">
      <xdr:nvSpPr>
        <xdr:cNvPr id="30" name="TextBox 29">
          <a:extLst>
            <a:ext uri="{FF2B5EF4-FFF2-40B4-BE49-F238E27FC236}">
              <a16:creationId xmlns:a16="http://schemas.microsoft.com/office/drawing/2014/main" id="{00000000-0008-0000-0500-00001E000000}"/>
            </a:ext>
          </a:extLst>
        </xdr:cNvPr>
        <xdr:cNvSpPr txBox="1">
          <a:spLocks/>
        </xdr:cNvSpPr>
      </xdr:nvSpPr>
      <xdr:spPr>
        <a:xfrm>
          <a:off x="14437800" y="4572526"/>
          <a:ext cx="323807"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r>
            <a:rPr lang="en-US" sz="1200" b="1">
              <a:latin typeface="Arial Narrow" panose="020B0606020202030204" pitchFamily="34" charset="0"/>
            </a:rPr>
            <a:t>1ST</a:t>
          </a:r>
        </a:p>
      </xdr:txBody>
    </xdr:sp>
    <xdr:clientData/>
  </xdr:twoCellAnchor>
  <xdr:twoCellAnchor editAs="oneCell">
    <xdr:from>
      <xdr:col>5</xdr:col>
      <xdr:colOff>1061545</xdr:colOff>
      <xdr:row>16</xdr:row>
      <xdr:rowOff>57807</xdr:rowOff>
    </xdr:from>
    <xdr:to>
      <xdr:col>6</xdr:col>
      <xdr:colOff>5839285</xdr:colOff>
      <xdr:row>17</xdr:row>
      <xdr:rowOff>51514</xdr:rowOff>
    </xdr:to>
    <xdr:sp macro="" textlink="DATA_INPUT!$C$26">
      <xdr:nvSpPr>
        <xdr:cNvPr id="31" name="TextBox 30">
          <a:extLst>
            <a:ext uri="{FF2B5EF4-FFF2-40B4-BE49-F238E27FC236}">
              <a16:creationId xmlns:a16="http://schemas.microsoft.com/office/drawing/2014/main" id="{00000000-0008-0000-0500-00001F000000}"/>
            </a:ext>
          </a:extLst>
        </xdr:cNvPr>
        <xdr:cNvSpPr txBox="1">
          <a:spLocks/>
        </xdr:cNvSpPr>
      </xdr:nvSpPr>
      <xdr:spPr>
        <a:xfrm>
          <a:off x="3835225" y="4896507"/>
          <a:ext cx="630936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2A09E35-0928-4983-AF30-8756A1795A96}" type="TxLink">
            <a:rPr lang="en-US" sz="1200" b="1" i="0" u="none" strike="noStrike">
              <a:solidFill>
                <a:srgbClr val="000000"/>
              </a:solidFill>
              <a:latin typeface="Arial Narrow"/>
            </a:rPr>
            <a:pPr/>
            <a:t>TECHNICAL-VOCATIONAL-LIVELIHOOD TRACK  - AUTOMOTIVE SERVICING</a:t>
          </a:fld>
          <a:endParaRPr lang="en-US" sz="1200" b="1">
            <a:latin typeface="Arial Narrow" panose="020B0606020202030204" pitchFamily="34" charset="0"/>
          </a:endParaRPr>
        </a:p>
      </xdr:txBody>
    </xdr:sp>
    <xdr:clientData/>
  </xdr:twoCellAnchor>
  <xdr:twoCellAnchor editAs="oneCell">
    <xdr:from>
      <xdr:col>6</xdr:col>
      <xdr:colOff>6789696</xdr:colOff>
      <xdr:row>16</xdr:row>
      <xdr:rowOff>57807</xdr:rowOff>
    </xdr:from>
    <xdr:to>
      <xdr:col>10</xdr:col>
      <xdr:colOff>688965</xdr:colOff>
      <xdr:row>17</xdr:row>
      <xdr:rowOff>51514</xdr:rowOff>
    </xdr:to>
    <xdr:sp macro="" textlink="DATA_INPUT!$C$27">
      <xdr:nvSpPr>
        <xdr:cNvPr id="32" name="TextBox 31">
          <a:extLst>
            <a:ext uri="{FF2B5EF4-FFF2-40B4-BE49-F238E27FC236}">
              <a16:creationId xmlns:a16="http://schemas.microsoft.com/office/drawing/2014/main" id="{00000000-0008-0000-0500-000020000000}"/>
            </a:ext>
          </a:extLst>
        </xdr:cNvPr>
        <xdr:cNvSpPr txBox="1">
          <a:spLocks/>
        </xdr:cNvSpPr>
      </xdr:nvSpPr>
      <xdr:spPr>
        <a:xfrm>
          <a:off x="11415036" y="4797447"/>
          <a:ext cx="3469989"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F61BC7F-1028-46A2-917D-EAF2F4E3B067}" type="TxLink">
            <a:rPr lang="en-US" sz="1200" b="1" i="0" u="none" strike="noStrike">
              <a:solidFill>
                <a:srgbClr val="000000"/>
              </a:solidFill>
              <a:latin typeface="Arial Narrow"/>
            </a:rPr>
            <a:pPr/>
            <a:t>AUTOMOTIVE</a:t>
          </a:fld>
          <a:endParaRPr lang="en-US" sz="1200" b="1">
            <a:latin typeface="Arial Narrow" panose="020B0606020202030204" pitchFamily="34" charset="0"/>
          </a:endParaRPr>
        </a:p>
      </xdr:txBody>
    </xdr:sp>
    <xdr:clientData/>
  </xdr:twoCellAnchor>
  <xdr:twoCellAnchor editAs="oneCell">
    <xdr:from>
      <xdr:col>5</xdr:col>
      <xdr:colOff>693420</xdr:colOff>
      <xdr:row>31</xdr:row>
      <xdr:rowOff>45720</xdr:rowOff>
    </xdr:from>
    <xdr:to>
      <xdr:col>6</xdr:col>
      <xdr:colOff>76200</xdr:colOff>
      <xdr:row>32</xdr:row>
      <xdr:rowOff>39426</xdr:rowOff>
    </xdr:to>
    <xdr:sp macro="" textlink="">
      <xdr:nvSpPr>
        <xdr:cNvPr id="42" name="TextBox 41">
          <a:extLst>
            <a:ext uri="{FF2B5EF4-FFF2-40B4-BE49-F238E27FC236}">
              <a16:creationId xmlns:a16="http://schemas.microsoft.com/office/drawing/2014/main" id="{00000000-0008-0000-0500-00002A000000}"/>
            </a:ext>
          </a:extLst>
        </xdr:cNvPr>
        <xdr:cNvSpPr txBox="1"/>
      </xdr:nvSpPr>
      <xdr:spPr>
        <a:xfrm>
          <a:off x="3787140" y="8275320"/>
          <a:ext cx="91440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PROMOTED</a:t>
          </a:r>
        </a:p>
      </xdr:txBody>
    </xdr:sp>
    <xdr:clientData/>
  </xdr:twoCellAnchor>
  <xdr:twoCellAnchor editAs="oneCell">
    <xdr:from>
      <xdr:col>5</xdr:col>
      <xdr:colOff>7620</xdr:colOff>
      <xdr:row>34</xdr:row>
      <xdr:rowOff>167640</xdr:rowOff>
    </xdr:from>
    <xdr:to>
      <xdr:col>6</xdr:col>
      <xdr:colOff>2156460</xdr:colOff>
      <xdr:row>36</xdr:row>
      <xdr:rowOff>12191</xdr:rowOff>
    </xdr:to>
    <xdr:sp macro="" textlink="DATA_INPUT!$C$28">
      <xdr:nvSpPr>
        <xdr:cNvPr id="59" name="TextBox 58">
          <a:extLst>
            <a:ext uri="{FF2B5EF4-FFF2-40B4-BE49-F238E27FC236}">
              <a16:creationId xmlns:a16="http://schemas.microsoft.com/office/drawing/2014/main" id="{00000000-0008-0000-0500-00003B000000}"/>
            </a:ext>
          </a:extLst>
        </xdr:cNvPr>
        <xdr:cNvSpPr txBox="1">
          <a:spLocks/>
        </xdr:cNvSpPr>
      </xdr:nvSpPr>
      <xdr:spPr>
        <a:xfrm>
          <a:off x="2781300" y="8961120"/>
          <a:ext cx="368046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EDBCB290-6415-425D-A227-6924FC6C1E67}" type="TxLink">
            <a:rPr lang="en-US" sz="1200" b="1" i="0" u="none" strike="noStrike">
              <a:solidFill>
                <a:srgbClr val="000000"/>
              </a:solidFill>
              <a:latin typeface="Arial Narrow"/>
            </a:rPr>
            <a:pPr lvl="0" algn="ctr"/>
            <a:t>JAMES RHODE E. SALAC</a:t>
          </a:fld>
          <a:endParaRPr lang="en-US" sz="1200" b="1">
            <a:latin typeface="Arial Narrow" panose="020B0606020202030204" pitchFamily="34" charset="0"/>
          </a:endParaRPr>
        </a:p>
      </xdr:txBody>
    </xdr:sp>
    <xdr:clientData/>
  </xdr:twoCellAnchor>
  <xdr:twoCellAnchor editAs="oneCell">
    <xdr:from>
      <xdr:col>6</xdr:col>
      <xdr:colOff>3025140</xdr:colOff>
      <xdr:row>34</xdr:row>
      <xdr:rowOff>167640</xdr:rowOff>
    </xdr:from>
    <xdr:to>
      <xdr:col>7</xdr:col>
      <xdr:colOff>30480</xdr:colOff>
      <xdr:row>36</xdr:row>
      <xdr:rowOff>12191</xdr:rowOff>
    </xdr:to>
    <xdr:sp macro="" textlink="DATA_INPUT!$C$29">
      <xdr:nvSpPr>
        <xdr:cNvPr id="60" name="TextBox 59">
          <a:extLst>
            <a:ext uri="{FF2B5EF4-FFF2-40B4-BE49-F238E27FC236}">
              <a16:creationId xmlns:a16="http://schemas.microsoft.com/office/drawing/2014/main" id="{00000000-0008-0000-0500-00003C000000}"/>
            </a:ext>
          </a:extLst>
        </xdr:cNvPr>
        <xdr:cNvSpPr txBox="1">
          <a:spLocks/>
        </xdr:cNvSpPr>
      </xdr:nvSpPr>
      <xdr:spPr>
        <a:xfrm>
          <a:off x="7330440" y="8961120"/>
          <a:ext cx="393954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A9EBD0E1-0204-4D37-BFC6-C0077A51E8AF}" type="TxLink">
            <a:rPr lang="en-US" sz="1200" b="1" i="0" u="none" strike="noStrike">
              <a:solidFill>
                <a:srgbClr val="000000"/>
              </a:solidFill>
              <a:latin typeface="Arial Narrow"/>
            </a:rPr>
            <a:pPr lvl="0" algn="ctr"/>
            <a:t>JUAN DELA CRUZ</a:t>
          </a:fld>
          <a:endParaRPr lang="en-US" sz="1200" b="1">
            <a:latin typeface="Arial Narrow" panose="020B0606020202030204" pitchFamily="34" charset="0"/>
          </a:endParaRPr>
        </a:p>
      </xdr:txBody>
    </xdr:sp>
    <xdr:clientData/>
  </xdr:twoCellAnchor>
  <xdr:twoCellAnchor editAs="oneCell">
    <xdr:from>
      <xdr:col>8</xdr:col>
      <xdr:colOff>160020</xdr:colOff>
      <xdr:row>34</xdr:row>
      <xdr:rowOff>167640</xdr:rowOff>
    </xdr:from>
    <xdr:to>
      <xdr:col>10</xdr:col>
      <xdr:colOff>746760</xdr:colOff>
      <xdr:row>36</xdr:row>
      <xdr:rowOff>12191</xdr:rowOff>
    </xdr:to>
    <xdr:sp macro="" textlink="">
      <xdr:nvSpPr>
        <xdr:cNvPr id="61" name="TextBox 60">
          <a:extLst>
            <a:ext uri="{FF2B5EF4-FFF2-40B4-BE49-F238E27FC236}">
              <a16:creationId xmlns:a16="http://schemas.microsoft.com/office/drawing/2014/main" id="{00000000-0008-0000-0500-00003D000000}"/>
            </a:ext>
          </a:extLst>
        </xdr:cNvPr>
        <xdr:cNvSpPr txBox="1">
          <a:spLocks/>
        </xdr:cNvSpPr>
      </xdr:nvSpPr>
      <xdr:spPr>
        <a:xfrm>
          <a:off x="12207240" y="8961120"/>
          <a:ext cx="241554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r>
            <a:rPr lang="en-US" sz="1200" b="1">
              <a:solidFill>
                <a:schemeClr val="bg1"/>
              </a:solidFill>
              <a:latin typeface="Arial Narrow" panose="020B0606020202030204" pitchFamily="34" charset="0"/>
            </a:rPr>
            <a:t>06/10/2023</a:t>
          </a:r>
        </a:p>
      </xdr:txBody>
    </xdr:sp>
    <xdr:clientData/>
  </xdr:twoCellAnchor>
  <xdr:twoCellAnchor editAs="oneCell">
    <xdr:from>
      <xdr:col>6</xdr:col>
      <xdr:colOff>1927860</xdr:colOff>
      <xdr:row>38</xdr:row>
      <xdr:rowOff>7620</xdr:rowOff>
    </xdr:from>
    <xdr:to>
      <xdr:col>6</xdr:col>
      <xdr:colOff>2636520</xdr:colOff>
      <xdr:row>38</xdr:row>
      <xdr:rowOff>164592</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6553200" y="9433560"/>
          <a:ext cx="708660" cy="15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3832860</xdr:colOff>
      <xdr:row>38</xdr:row>
      <xdr:rowOff>7620</xdr:rowOff>
    </xdr:from>
    <xdr:to>
      <xdr:col>6</xdr:col>
      <xdr:colOff>4610100</xdr:colOff>
      <xdr:row>38</xdr:row>
      <xdr:rowOff>163068</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8458200" y="9433560"/>
          <a:ext cx="777240" cy="1554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5509260</xdr:colOff>
      <xdr:row>37</xdr:row>
      <xdr:rowOff>169361</xdr:rowOff>
    </xdr:from>
    <xdr:to>
      <xdr:col>8</xdr:col>
      <xdr:colOff>207880</xdr:colOff>
      <xdr:row>38</xdr:row>
      <xdr:rowOff>163068</xdr:rowOff>
    </xdr:to>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0134600" y="9412421"/>
          <a:ext cx="244054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100" b="1">
              <a:solidFill>
                <a:schemeClr val="bg1"/>
              </a:solidFill>
              <a:latin typeface="Arial Narrow" panose="020B0606020202030204" pitchFamily="34" charset="0"/>
            </a:rPr>
            <a:t>EAST GUSA NATIONAL HIGH SCHOOL</a:t>
          </a:r>
        </a:p>
      </xdr:txBody>
    </xdr:sp>
    <xdr:clientData/>
  </xdr:twoCellAnchor>
  <xdr:twoCellAnchor editAs="oneCell">
    <xdr:from>
      <xdr:col>10</xdr:col>
      <xdr:colOff>236220</xdr:colOff>
      <xdr:row>38</xdr:row>
      <xdr:rowOff>0</xdr:rowOff>
    </xdr:from>
    <xdr:to>
      <xdr:col>10</xdr:col>
      <xdr:colOff>739140</xdr:colOff>
      <xdr:row>38</xdr:row>
      <xdr:rowOff>163068</xdr:rowOff>
    </xdr:to>
    <xdr:sp macro="" textlink="">
      <xdr:nvSpPr>
        <xdr:cNvPr id="65" name="TextBox 64">
          <a:extLst>
            <a:ext uri="{FF2B5EF4-FFF2-40B4-BE49-F238E27FC236}">
              <a16:creationId xmlns:a16="http://schemas.microsoft.com/office/drawing/2014/main" id="{00000000-0008-0000-0500-000041000000}"/>
            </a:ext>
          </a:extLst>
        </xdr:cNvPr>
        <xdr:cNvSpPr txBox="1"/>
      </xdr:nvSpPr>
      <xdr:spPr>
        <a:xfrm>
          <a:off x="14432280" y="9425940"/>
          <a:ext cx="502920" cy="163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315407</a:t>
          </a:r>
        </a:p>
      </xdr:txBody>
    </xdr:sp>
    <xdr:clientData/>
  </xdr:twoCellAnchor>
  <xdr:twoCellAnchor editAs="oneCell">
    <xdr:from>
      <xdr:col>6</xdr:col>
      <xdr:colOff>182880</xdr:colOff>
      <xdr:row>45</xdr:row>
      <xdr:rowOff>99060</xdr:rowOff>
    </xdr:from>
    <xdr:to>
      <xdr:col>6</xdr:col>
      <xdr:colOff>3863340</xdr:colOff>
      <xdr:row>46</xdr:row>
      <xdr:rowOff>123246</xdr:rowOff>
    </xdr:to>
    <xdr:sp macro="" textlink="">
      <xdr:nvSpPr>
        <xdr:cNvPr id="67" name="TextBox 66">
          <a:extLst>
            <a:ext uri="{FF2B5EF4-FFF2-40B4-BE49-F238E27FC236}">
              <a16:creationId xmlns:a16="http://schemas.microsoft.com/office/drawing/2014/main" id="{00000000-0008-0000-0500-000043000000}"/>
            </a:ext>
          </a:extLst>
        </xdr:cNvPr>
        <xdr:cNvSpPr txBox="1"/>
      </xdr:nvSpPr>
      <xdr:spPr>
        <a:xfrm>
          <a:off x="4808220" y="11338560"/>
          <a:ext cx="3680460" cy="2070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5</xdr:col>
      <xdr:colOff>693420</xdr:colOff>
      <xdr:row>64</xdr:row>
      <xdr:rowOff>53340</xdr:rowOff>
    </xdr:from>
    <xdr:to>
      <xdr:col>6</xdr:col>
      <xdr:colOff>76200</xdr:colOff>
      <xdr:row>65</xdr:row>
      <xdr:rowOff>47047</xdr:rowOff>
    </xdr:to>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3787140" y="15560040"/>
          <a:ext cx="91440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PROMOTED</a:t>
          </a:r>
        </a:p>
      </xdr:txBody>
    </xdr:sp>
    <xdr:clientData/>
  </xdr:twoCellAnchor>
  <xdr:twoCellAnchor editAs="oneCell">
    <xdr:from>
      <xdr:col>5</xdr:col>
      <xdr:colOff>7620</xdr:colOff>
      <xdr:row>67</xdr:row>
      <xdr:rowOff>175260</xdr:rowOff>
    </xdr:from>
    <xdr:to>
      <xdr:col>6</xdr:col>
      <xdr:colOff>2156460</xdr:colOff>
      <xdr:row>69</xdr:row>
      <xdr:rowOff>16566</xdr:rowOff>
    </xdr:to>
    <xdr:sp macro="" textlink="">
      <xdr:nvSpPr>
        <xdr:cNvPr id="70" name="TextBox 69">
          <a:extLst>
            <a:ext uri="{FF2B5EF4-FFF2-40B4-BE49-F238E27FC236}">
              <a16:creationId xmlns:a16="http://schemas.microsoft.com/office/drawing/2014/main" id="{00000000-0008-0000-0500-000046000000}"/>
            </a:ext>
          </a:extLst>
        </xdr:cNvPr>
        <xdr:cNvSpPr txBox="1"/>
      </xdr:nvSpPr>
      <xdr:spPr>
        <a:xfrm>
          <a:off x="3101340" y="16146780"/>
          <a:ext cx="3680460" cy="2070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JAMES RHODE E. SALAC</a:t>
          </a:r>
        </a:p>
      </xdr:txBody>
    </xdr:sp>
    <xdr:clientData/>
  </xdr:twoCellAnchor>
  <xdr:twoCellAnchor editAs="oneCell">
    <xdr:from>
      <xdr:col>6</xdr:col>
      <xdr:colOff>3025140</xdr:colOff>
      <xdr:row>67</xdr:row>
      <xdr:rowOff>167640</xdr:rowOff>
    </xdr:from>
    <xdr:to>
      <xdr:col>7</xdr:col>
      <xdr:colOff>30480</xdr:colOff>
      <xdr:row>69</xdr:row>
      <xdr:rowOff>12191</xdr:rowOff>
    </xdr:to>
    <xdr:sp macro="" textlink="">
      <xdr:nvSpPr>
        <xdr:cNvPr id="71" name="TextBox 70">
          <a:extLst>
            <a:ext uri="{FF2B5EF4-FFF2-40B4-BE49-F238E27FC236}">
              <a16:creationId xmlns:a16="http://schemas.microsoft.com/office/drawing/2014/main" id="{00000000-0008-0000-0500-000047000000}"/>
            </a:ext>
          </a:extLst>
        </xdr:cNvPr>
        <xdr:cNvSpPr txBox="1"/>
      </xdr:nvSpPr>
      <xdr:spPr>
        <a:xfrm>
          <a:off x="7650480" y="16139160"/>
          <a:ext cx="393954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MANUEL L. LINCARO JR.</a:t>
          </a:r>
        </a:p>
      </xdr:txBody>
    </xdr:sp>
    <xdr:clientData/>
  </xdr:twoCellAnchor>
  <xdr:twoCellAnchor editAs="oneCell">
    <xdr:from>
      <xdr:col>8</xdr:col>
      <xdr:colOff>160020</xdr:colOff>
      <xdr:row>67</xdr:row>
      <xdr:rowOff>167640</xdr:rowOff>
    </xdr:from>
    <xdr:to>
      <xdr:col>10</xdr:col>
      <xdr:colOff>746760</xdr:colOff>
      <xdr:row>69</xdr:row>
      <xdr:rowOff>12191</xdr:rowOff>
    </xdr:to>
    <xdr:sp macro="" textlink="">
      <xdr:nvSpPr>
        <xdr:cNvPr id="72" name="TextBox 71">
          <a:extLst>
            <a:ext uri="{FF2B5EF4-FFF2-40B4-BE49-F238E27FC236}">
              <a16:creationId xmlns:a16="http://schemas.microsoft.com/office/drawing/2014/main" id="{00000000-0008-0000-0500-000048000000}"/>
            </a:ext>
          </a:extLst>
        </xdr:cNvPr>
        <xdr:cNvSpPr txBox="1"/>
      </xdr:nvSpPr>
      <xdr:spPr>
        <a:xfrm>
          <a:off x="12527280" y="16139160"/>
          <a:ext cx="241554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06/10/2023</a:t>
          </a:r>
        </a:p>
      </xdr:txBody>
    </xdr:sp>
    <xdr:clientData/>
  </xdr:twoCellAnchor>
  <xdr:twoCellAnchor editAs="oneCell">
    <xdr:from>
      <xdr:col>6</xdr:col>
      <xdr:colOff>1927860</xdr:colOff>
      <xdr:row>70</xdr:row>
      <xdr:rowOff>169856</xdr:rowOff>
    </xdr:from>
    <xdr:to>
      <xdr:col>6</xdr:col>
      <xdr:colOff>2636520</xdr:colOff>
      <xdr:row>71</xdr:row>
      <xdr:rowOff>137712</xdr:rowOff>
    </xdr:to>
    <xdr:sp macro="" textlink="">
      <xdr:nvSpPr>
        <xdr:cNvPr id="73" name="TextBox 72">
          <a:extLst>
            <a:ext uri="{FF2B5EF4-FFF2-40B4-BE49-F238E27FC236}">
              <a16:creationId xmlns:a16="http://schemas.microsoft.com/office/drawing/2014/main" id="{00000000-0008-0000-0500-000049000000}"/>
            </a:ext>
          </a:extLst>
        </xdr:cNvPr>
        <xdr:cNvSpPr txBox="1"/>
      </xdr:nvSpPr>
      <xdr:spPr>
        <a:xfrm>
          <a:off x="6552869" y="16774830"/>
          <a:ext cx="708660" cy="153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3832860</xdr:colOff>
      <xdr:row>70</xdr:row>
      <xdr:rowOff>169856</xdr:rowOff>
    </xdr:from>
    <xdr:to>
      <xdr:col>6</xdr:col>
      <xdr:colOff>4610100</xdr:colOff>
      <xdr:row>71</xdr:row>
      <xdr:rowOff>136188</xdr:rowOff>
    </xdr:to>
    <xdr:sp macro="" textlink="">
      <xdr:nvSpPr>
        <xdr:cNvPr id="74" name="TextBox 73">
          <a:extLst>
            <a:ext uri="{FF2B5EF4-FFF2-40B4-BE49-F238E27FC236}">
              <a16:creationId xmlns:a16="http://schemas.microsoft.com/office/drawing/2014/main" id="{00000000-0008-0000-0500-00004A000000}"/>
            </a:ext>
          </a:extLst>
        </xdr:cNvPr>
        <xdr:cNvSpPr txBox="1"/>
      </xdr:nvSpPr>
      <xdr:spPr>
        <a:xfrm>
          <a:off x="8457869" y="16774830"/>
          <a:ext cx="777240" cy="151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5509260</xdr:colOff>
      <xdr:row>70</xdr:row>
      <xdr:rowOff>142481</xdr:rowOff>
    </xdr:from>
    <xdr:to>
      <xdr:col>8</xdr:col>
      <xdr:colOff>207880</xdr:colOff>
      <xdr:row>71</xdr:row>
      <xdr:rowOff>136188</xdr:rowOff>
    </xdr:to>
    <xdr:sp macro="" textlink="">
      <xdr:nvSpPr>
        <xdr:cNvPr id="75" name="TextBox 74">
          <a:extLst>
            <a:ext uri="{FF2B5EF4-FFF2-40B4-BE49-F238E27FC236}">
              <a16:creationId xmlns:a16="http://schemas.microsoft.com/office/drawing/2014/main" id="{00000000-0008-0000-0500-00004B000000}"/>
            </a:ext>
          </a:extLst>
        </xdr:cNvPr>
        <xdr:cNvSpPr txBox="1"/>
      </xdr:nvSpPr>
      <xdr:spPr>
        <a:xfrm>
          <a:off x="10134269" y="16747455"/>
          <a:ext cx="2444515" cy="1792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b">
          <a:noAutofit/>
        </a:bodyPr>
        <a:lstStyle/>
        <a:p>
          <a:r>
            <a:rPr lang="en-US" sz="1100" b="1">
              <a:solidFill>
                <a:schemeClr val="bg1"/>
              </a:solidFill>
              <a:latin typeface="Arial Narrow" panose="020B0606020202030204" pitchFamily="34" charset="0"/>
            </a:rPr>
            <a:t>EAST GUSA NATIONAL HIGH SCHOOL</a:t>
          </a:r>
        </a:p>
      </xdr:txBody>
    </xdr:sp>
    <xdr:clientData/>
  </xdr:twoCellAnchor>
  <xdr:twoCellAnchor editAs="oneCell">
    <xdr:from>
      <xdr:col>10</xdr:col>
      <xdr:colOff>236220</xdr:colOff>
      <xdr:row>70</xdr:row>
      <xdr:rowOff>162236</xdr:rowOff>
    </xdr:from>
    <xdr:to>
      <xdr:col>10</xdr:col>
      <xdr:colOff>739140</xdr:colOff>
      <xdr:row>71</xdr:row>
      <xdr:rowOff>136188</xdr:rowOff>
    </xdr:to>
    <xdr:sp macro="" textlink="">
      <xdr:nvSpPr>
        <xdr:cNvPr id="76" name="TextBox 75">
          <a:extLst>
            <a:ext uri="{FF2B5EF4-FFF2-40B4-BE49-F238E27FC236}">
              <a16:creationId xmlns:a16="http://schemas.microsoft.com/office/drawing/2014/main" id="{00000000-0008-0000-0500-00004C000000}"/>
            </a:ext>
          </a:extLst>
        </xdr:cNvPr>
        <xdr:cNvSpPr txBox="1"/>
      </xdr:nvSpPr>
      <xdr:spPr>
        <a:xfrm>
          <a:off x="14435924" y="16767210"/>
          <a:ext cx="502920" cy="1594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315407</a:t>
          </a:r>
        </a:p>
      </xdr:txBody>
    </xdr:sp>
    <xdr:clientData/>
  </xdr:twoCellAnchor>
  <xdr:twoCellAnchor editAs="oneCell">
    <xdr:from>
      <xdr:col>6</xdr:col>
      <xdr:colOff>182880</xdr:colOff>
      <xdr:row>78</xdr:row>
      <xdr:rowOff>83820</xdr:rowOff>
    </xdr:from>
    <xdr:to>
      <xdr:col>6</xdr:col>
      <xdr:colOff>3863340</xdr:colOff>
      <xdr:row>79</xdr:row>
      <xdr:rowOff>108006</xdr:rowOff>
    </xdr:to>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808220" y="18600420"/>
          <a:ext cx="3680460" cy="2070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1</xdr:col>
      <xdr:colOff>17926</xdr:colOff>
      <xdr:row>2</xdr:row>
      <xdr:rowOff>17927</xdr:rowOff>
    </xdr:from>
    <xdr:to>
      <xdr:col>2</xdr:col>
      <xdr:colOff>795966</xdr:colOff>
      <xdr:row>4</xdr:row>
      <xdr:rowOff>77631</xdr:rowOff>
    </xdr:to>
    <xdr:sp macro="" textlink="">
      <xdr:nvSpPr>
        <xdr:cNvPr id="78" name="TextBox 77">
          <a:extLst>
            <a:ext uri="{FF2B5EF4-FFF2-40B4-BE49-F238E27FC236}">
              <a16:creationId xmlns:a16="http://schemas.microsoft.com/office/drawing/2014/main" id="{00000000-0008-0000-0500-00004E000000}"/>
            </a:ext>
          </a:extLst>
        </xdr:cNvPr>
        <xdr:cNvSpPr txBox="1"/>
      </xdr:nvSpPr>
      <xdr:spPr>
        <a:xfrm>
          <a:off x="101746" y="597047"/>
          <a:ext cx="148040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STUDENT NAMES</a:t>
          </a:r>
        </a:p>
      </xdr:txBody>
    </xdr:sp>
    <xdr:clientData/>
  </xdr:twoCellAnchor>
  <xdr:twoCellAnchor editAs="oneCell">
    <xdr:from>
      <xdr:col>1</xdr:col>
      <xdr:colOff>17926</xdr:colOff>
      <xdr:row>4</xdr:row>
      <xdr:rowOff>0</xdr:rowOff>
    </xdr:from>
    <xdr:to>
      <xdr:col>3</xdr:col>
      <xdr:colOff>53788</xdr:colOff>
      <xdr:row>18</xdr:row>
      <xdr:rowOff>35851</xdr:rowOff>
    </xdr:to>
    <mc:AlternateContent xmlns:mc="http://schemas.openxmlformats.org/markup-compatibility/2006" xmlns:a14="http://schemas.microsoft.com/office/drawing/2010/main">
      <mc:Choice Requires="a14">
        <xdr:graphicFrame macro="">
          <xdr:nvGraphicFramePr>
            <xdr:cNvPr id="7" name="Student Name 5">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microsoft.com/office/drawing/2010/slicer">
              <sle:slicer xmlns:sle="http://schemas.microsoft.com/office/drawing/2010/slicer" name="Student Name 5"/>
            </a:graphicData>
          </a:graphic>
        </xdr:graphicFrame>
      </mc:Choice>
      <mc:Fallback xmlns="">
        <xdr:sp macro="" textlink="">
          <xdr:nvSpPr>
            <xdr:cNvPr id="0" name=""/>
            <xdr:cNvSpPr>
              <a:spLocks noTextEdit="1"/>
            </xdr:cNvSpPr>
          </xdr:nvSpPr>
          <xdr:spPr>
            <a:xfrm>
              <a:off x="98608" y="824753"/>
              <a:ext cx="2545980" cy="4392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672352</xdr:colOff>
      <xdr:row>48</xdr:row>
      <xdr:rowOff>161365</xdr:rowOff>
    </xdr:from>
    <xdr:to>
      <xdr:col>6</xdr:col>
      <xdr:colOff>1581272</xdr:colOff>
      <xdr:row>49</xdr:row>
      <xdr:rowOff>155072</xdr:rowOff>
    </xdr:to>
    <xdr:sp macro="" textlink="DATA_INPUT!$C$22">
      <xdr:nvSpPr>
        <xdr:cNvPr id="20" name="TextBox 19">
          <a:extLst>
            <a:ext uri="{FF2B5EF4-FFF2-40B4-BE49-F238E27FC236}">
              <a16:creationId xmlns:a16="http://schemas.microsoft.com/office/drawing/2014/main" id="{00000000-0008-0000-0500-000014000000}"/>
            </a:ext>
          </a:extLst>
        </xdr:cNvPr>
        <xdr:cNvSpPr txBox="1">
          <a:spLocks/>
        </xdr:cNvSpPr>
      </xdr:nvSpPr>
      <xdr:spPr>
        <a:xfrm>
          <a:off x="3469340" y="12236824"/>
          <a:ext cx="244188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C6BE0A4-92DD-4104-82CF-9D61E740331A}" type="TxLink">
            <a:rPr lang="en-US" sz="1200" b="1" i="0" u="none" strike="noStrike">
              <a:solidFill>
                <a:srgbClr val="000000"/>
              </a:solidFill>
              <a:latin typeface="Arial Narrow"/>
            </a:rPr>
            <a:pPr/>
            <a:t>EAST GUSA NATIONAL HIGH SCHOOL</a:t>
          </a:fld>
          <a:endParaRPr lang="en-US" sz="1200" b="1">
            <a:latin typeface="Arial Narrow" panose="020B0606020202030204" pitchFamily="34" charset="0"/>
          </a:endParaRPr>
        </a:p>
      </xdr:txBody>
    </xdr:sp>
    <xdr:clientData/>
  </xdr:twoCellAnchor>
  <xdr:twoCellAnchor editAs="oneCell">
    <xdr:from>
      <xdr:col>6</xdr:col>
      <xdr:colOff>4408783</xdr:colOff>
      <xdr:row>48</xdr:row>
      <xdr:rowOff>161365</xdr:rowOff>
    </xdr:from>
    <xdr:to>
      <xdr:col>6</xdr:col>
      <xdr:colOff>4922385</xdr:colOff>
      <xdr:row>49</xdr:row>
      <xdr:rowOff>155072</xdr:rowOff>
    </xdr:to>
    <xdr:sp macro="" textlink="DATA_INPUT!$C$23">
      <xdr:nvSpPr>
        <xdr:cNvPr id="33" name="TextBox 32">
          <a:extLst>
            <a:ext uri="{FF2B5EF4-FFF2-40B4-BE49-F238E27FC236}">
              <a16:creationId xmlns:a16="http://schemas.microsoft.com/office/drawing/2014/main" id="{00000000-0008-0000-0500-000021000000}"/>
            </a:ext>
          </a:extLst>
        </xdr:cNvPr>
        <xdr:cNvSpPr txBox="1">
          <a:spLocks/>
        </xdr:cNvSpPr>
      </xdr:nvSpPr>
      <xdr:spPr>
        <a:xfrm>
          <a:off x="8738736" y="12236824"/>
          <a:ext cx="513602"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78C70954-837F-4682-B439-28532A67B0B0}" type="TxLink">
            <a:rPr lang="en-US" sz="1200" b="1" i="0" u="none" strike="noStrike">
              <a:solidFill>
                <a:srgbClr val="000000"/>
              </a:solidFill>
              <a:latin typeface="Arial Narrow"/>
            </a:rPr>
            <a:pPr/>
            <a:t>315407</a:t>
          </a:fld>
          <a:endParaRPr lang="en-US" sz="1200" b="1">
            <a:latin typeface="Arial Narrow" panose="020B0606020202030204" pitchFamily="34" charset="0"/>
          </a:endParaRPr>
        </a:p>
      </xdr:txBody>
    </xdr:sp>
    <xdr:clientData/>
  </xdr:twoCellAnchor>
  <xdr:twoCellAnchor editAs="oneCell">
    <xdr:from>
      <xdr:col>6</xdr:col>
      <xdr:colOff>6768346</xdr:colOff>
      <xdr:row>48</xdr:row>
      <xdr:rowOff>161365</xdr:rowOff>
    </xdr:from>
    <xdr:to>
      <xdr:col>7</xdr:col>
      <xdr:colOff>66902</xdr:colOff>
      <xdr:row>49</xdr:row>
      <xdr:rowOff>155072</xdr:rowOff>
    </xdr:to>
    <xdr:sp macro="" textlink="DATA_INPUT!$C$24">
      <xdr:nvSpPr>
        <xdr:cNvPr id="48" name="TextBox 47">
          <a:extLst>
            <a:ext uri="{FF2B5EF4-FFF2-40B4-BE49-F238E27FC236}">
              <a16:creationId xmlns:a16="http://schemas.microsoft.com/office/drawing/2014/main" id="{00000000-0008-0000-0500-000030000000}"/>
            </a:ext>
          </a:extLst>
        </xdr:cNvPr>
        <xdr:cNvSpPr txBox="1">
          <a:spLocks/>
        </xdr:cNvSpPr>
      </xdr:nvSpPr>
      <xdr:spPr>
        <a:xfrm>
          <a:off x="11098299" y="12236824"/>
          <a:ext cx="237238"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5A68B0F-4532-4C16-B09B-C32DD179C51A}" type="TxLink">
            <a:rPr lang="en-US" sz="1200" b="1" i="0" u="none" strike="noStrike">
              <a:solidFill>
                <a:srgbClr val="000000"/>
              </a:solidFill>
              <a:latin typeface="Arial Narrow"/>
            </a:rPr>
            <a:pPr/>
            <a:t>12</a:t>
          </a:fld>
          <a:endParaRPr lang="en-US" sz="1200" b="1">
            <a:latin typeface="Arial Narrow" panose="020B0606020202030204" pitchFamily="34" charset="0"/>
          </a:endParaRPr>
        </a:p>
      </xdr:txBody>
    </xdr:sp>
    <xdr:clientData/>
  </xdr:twoCellAnchor>
  <xdr:twoCellAnchor editAs="oneCell">
    <xdr:from>
      <xdr:col>8</xdr:col>
      <xdr:colOff>304490</xdr:colOff>
      <xdr:row>48</xdr:row>
      <xdr:rowOff>161365</xdr:rowOff>
    </xdr:from>
    <xdr:to>
      <xdr:col>9</xdr:col>
      <xdr:colOff>192794</xdr:colOff>
      <xdr:row>49</xdr:row>
      <xdr:rowOff>155072</xdr:rowOff>
    </xdr:to>
    <xdr:sp macro="" textlink="DATA_INPUT!$C$25">
      <xdr:nvSpPr>
        <xdr:cNvPr id="66" name="TextBox 65">
          <a:extLst>
            <a:ext uri="{FF2B5EF4-FFF2-40B4-BE49-F238E27FC236}">
              <a16:creationId xmlns:a16="http://schemas.microsoft.com/office/drawing/2014/main" id="{00000000-0008-0000-0500-000042000000}"/>
            </a:ext>
          </a:extLst>
        </xdr:cNvPr>
        <xdr:cNvSpPr txBox="1">
          <a:spLocks/>
        </xdr:cNvSpPr>
      </xdr:nvSpPr>
      <xdr:spPr>
        <a:xfrm>
          <a:off x="12379949" y="12236824"/>
          <a:ext cx="69512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DADB679-579A-4C56-8BED-97F3C9F9F5D4}" type="TxLink">
            <a:rPr lang="en-US" sz="1200" b="1" i="0" u="none" strike="noStrike">
              <a:solidFill>
                <a:srgbClr val="000000"/>
              </a:solidFill>
              <a:latin typeface="Arial Narrow"/>
            </a:rPr>
            <a:pPr/>
            <a:t>2023-2024</a:t>
          </a:fld>
          <a:endParaRPr lang="en-US" sz="1200" b="1">
            <a:latin typeface="Arial Narrow" panose="020B0606020202030204" pitchFamily="34" charset="0"/>
          </a:endParaRPr>
        </a:p>
      </xdr:txBody>
    </xdr:sp>
    <xdr:clientData/>
  </xdr:twoCellAnchor>
  <xdr:twoCellAnchor editAs="oneCell">
    <xdr:from>
      <xdr:col>10</xdr:col>
      <xdr:colOff>220408</xdr:colOff>
      <xdr:row>48</xdr:row>
      <xdr:rowOff>161365</xdr:rowOff>
    </xdr:from>
    <xdr:to>
      <xdr:col>10</xdr:col>
      <xdr:colOff>544215</xdr:colOff>
      <xdr:row>49</xdr:row>
      <xdr:rowOff>155072</xdr:rowOff>
    </xdr:to>
    <xdr:sp macro="" textlink="">
      <xdr:nvSpPr>
        <xdr:cNvPr id="68" name="TextBox 67">
          <a:extLst>
            <a:ext uri="{FF2B5EF4-FFF2-40B4-BE49-F238E27FC236}">
              <a16:creationId xmlns:a16="http://schemas.microsoft.com/office/drawing/2014/main" id="{00000000-0008-0000-0500-000044000000}"/>
            </a:ext>
          </a:extLst>
        </xdr:cNvPr>
        <xdr:cNvSpPr txBox="1">
          <a:spLocks/>
        </xdr:cNvSpPr>
      </xdr:nvSpPr>
      <xdr:spPr>
        <a:xfrm>
          <a:off x="14124667" y="12236824"/>
          <a:ext cx="32380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r>
            <a:rPr lang="en-US" sz="1200" b="1">
              <a:latin typeface="Arial Narrow" panose="020B0606020202030204" pitchFamily="34" charset="0"/>
            </a:rPr>
            <a:t>2ND</a:t>
          </a:r>
        </a:p>
      </xdr:txBody>
    </xdr:sp>
    <xdr:clientData/>
  </xdr:twoCellAnchor>
  <xdr:twoCellAnchor editAs="oneCell">
    <xdr:from>
      <xdr:col>5</xdr:col>
      <xdr:colOff>1040213</xdr:colOff>
      <xdr:row>50</xdr:row>
      <xdr:rowOff>24112</xdr:rowOff>
    </xdr:from>
    <xdr:to>
      <xdr:col>6</xdr:col>
      <xdr:colOff>5817953</xdr:colOff>
      <xdr:row>51</xdr:row>
      <xdr:rowOff>17819</xdr:rowOff>
    </xdr:to>
    <xdr:sp macro="" textlink="DATA_INPUT!$C$26">
      <xdr:nvSpPr>
        <xdr:cNvPr id="79" name="TextBox 78">
          <a:extLst>
            <a:ext uri="{FF2B5EF4-FFF2-40B4-BE49-F238E27FC236}">
              <a16:creationId xmlns:a16="http://schemas.microsoft.com/office/drawing/2014/main" id="{00000000-0008-0000-0500-00004F000000}"/>
            </a:ext>
          </a:extLst>
        </xdr:cNvPr>
        <xdr:cNvSpPr txBox="1">
          <a:spLocks/>
        </xdr:cNvSpPr>
      </xdr:nvSpPr>
      <xdr:spPr>
        <a:xfrm>
          <a:off x="3837201" y="12458159"/>
          <a:ext cx="631070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2A09E35-0928-4983-AF30-8756A1795A96}" type="TxLink">
            <a:rPr lang="en-US" sz="1200" b="1" i="0" u="none" strike="noStrike">
              <a:solidFill>
                <a:srgbClr val="000000"/>
              </a:solidFill>
              <a:latin typeface="Arial Narrow"/>
            </a:rPr>
            <a:pPr/>
            <a:t>TECHNICAL-VOCATIONAL-LIVELIHOOD TRACK  - AUTOMOTIVE SERVICING</a:t>
          </a:fld>
          <a:endParaRPr lang="en-US" sz="1200" b="1">
            <a:latin typeface="Arial Narrow" panose="020B0606020202030204" pitchFamily="34" charset="0"/>
          </a:endParaRPr>
        </a:p>
      </xdr:txBody>
    </xdr:sp>
    <xdr:clientData/>
  </xdr:twoCellAnchor>
  <xdr:twoCellAnchor editAs="oneCell">
    <xdr:from>
      <xdr:col>6</xdr:col>
      <xdr:colOff>6768364</xdr:colOff>
      <xdr:row>50</xdr:row>
      <xdr:rowOff>24112</xdr:rowOff>
    </xdr:from>
    <xdr:to>
      <xdr:col>10</xdr:col>
      <xdr:colOff>667633</xdr:colOff>
      <xdr:row>51</xdr:row>
      <xdr:rowOff>17819</xdr:rowOff>
    </xdr:to>
    <xdr:sp macro="" textlink="DATA_INPUT!$C$27">
      <xdr:nvSpPr>
        <xdr:cNvPr id="80" name="TextBox 79">
          <a:extLst>
            <a:ext uri="{FF2B5EF4-FFF2-40B4-BE49-F238E27FC236}">
              <a16:creationId xmlns:a16="http://schemas.microsoft.com/office/drawing/2014/main" id="{00000000-0008-0000-0500-000050000000}"/>
            </a:ext>
          </a:extLst>
        </xdr:cNvPr>
        <xdr:cNvSpPr txBox="1">
          <a:spLocks/>
        </xdr:cNvSpPr>
      </xdr:nvSpPr>
      <xdr:spPr>
        <a:xfrm>
          <a:off x="11098317" y="12458159"/>
          <a:ext cx="347357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F61BC7F-1028-46A2-917D-EAF2F4E3B067}" type="TxLink">
            <a:rPr lang="en-US" sz="1200" b="1" i="0" u="none" strike="noStrike">
              <a:solidFill>
                <a:srgbClr val="000000"/>
              </a:solidFill>
              <a:latin typeface="Arial Narrow"/>
            </a:rPr>
            <a:pPr/>
            <a:t>AUTOMOTIVE</a:t>
          </a:fld>
          <a:endParaRPr lang="en-US" sz="1200" b="1">
            <a:latin typeface="Arial Narrow" panose="020B0606020202030204" pitchFamily="34" charset="0"/>
          </a:endParaRPr>
        </a:p>
      </xdr:txBody>
    </xdr:sp>
    <xdr:clientData/>
  </xdr:twoCellAnchor>
  <xdr:twoCellAnchor editAs="oneCell">
    <xdr:from>
      <xdr:col>4</xdr:col>
      <xdr:colOff>44819</xdr:colOff>
      <xdr:row>67</xdr:row>
      <xdr:rowOff>170330</xdr:rowOff>
    </xdr:from>
    <xdr:to>
      <xdr:col>6</xdr:col>
      <xdr:colOff>2112977</xdr:colOff>
      <xdr:row>69</xdr:row>
      <xdr:rowOff>14881</xdr:rowOff>
    </xdr:to>
    <xdr:sp macro="" textlink="DATA_INPUT!$C$28">
      <xdr:nvSpPr>
        <xdr:cNvPr id="81" name="TextBox 80">
          <a:extLst>
            <a:ext uri="{FF2B5EF4-FFF2-40B4-BE49-F238E27FC236}">
              <a16:creationId xmlns:a16="http://schemas.microsoft.com/office/drawing/2014/main" id="{00000000-0008-0000-0500-000051000000}"/>
            </a:ext>
          </a:extLst>
        </xdr:cNvPr>
        <xdr:cNvSpPr txBox="1">
          <a:spLocks/>
        </xdr:cNvSpPr>
      </xdr:nvSpPr>
      <xdr:spPr>
        <a:xfrm>
          <a:off x="2761125" y="16405412"/>
          <a:ext cx="3681805" cy="203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7BB31522-4D02-4D0F-B59C-70797DF656FC}" type="TxLink">
            <a:rPr lang="en-US" sz="1200" b="1" i="0" u="none" strike="noStrike">
              <a:solidFill>
                <a:srgbClr val="000000"/>
              </a:solidFill>
              <a:latin typeface="Arial Narrow"/>
            </a:rPr>
            <a:pPr lvl="0" algn="ctr"/>
            <a:t>JAMES RHODE E. SALAC</a:t>
          </a:fld>
          <a:endParaRPr lang="en-US" sz="1200" b="1">
            <a:latin typeface="Arial Narrow" panose="020B0606020202030204" pitchFamily="34" charset="0"/>
          </a:endParaRPr>
        </a:p>
      </xdr:txBody>
    </xdr:sp>
    <xdr:clientData/>
  </xdr:twoCellAnchor>
  <xdr:twoCellAnchor editAs="oneCell">
    <xdr:from>
      <xdr:col>6</xdr:col>
      <xdr:colOff>2981657</xdr:colOff>
      <xdr:row>67</xdr:row>
      <xdr:rowOff>170330</xdr:rowOff>
    </xdr:from>
    <xdr:to>
      <xdr:col>6</xdr:col>
      <xdr:colOff>6925679</xdr:colOff>
      <xdr:row>69</xdr:row>
      <xdr:rowOff>14881</xdr:rowOff>
    </xdr:to>
    <xdr:sp macro="" textlink="DATA_INPUT!$C$29">
      <xdr:nvSpPr>
        <xdr:cNvPr id="82" name="TextBox 81">
          <a:extLst>
            <a:ext uri="{FF2B5EF4-FFF2-40B4-BE49-F238E27FC236}">
              <a16:creationId xmlns:a16="http://schemas.microsoft.com/office/drawing/2014/main" id="{00000000-0008-0000-0500-000052000000}"/>
            </a:ext>
          </a:extLst>
        </xdr:cNvPr>
        <xdr:cNvSpPr txBox="1">
          <a:spLocks/>
        </xdr:cNvSpPr>
      </xdr:nvSpPr>
      <xdr:spPr>
        <a:xfrm>
          <a:off x="7311610" y="16405412"/>
          <a:ext cx="3944022" cy="203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A9EBD0E1-0204-4D37-BFC6-C0077A51E8AF}" type="TxLink">
            <a:rPr lang="en-US" sz="1200" b="1" i="0" u="none" strike="noStrike">
              <a:solidFill>
                <a:srgbClr val="000000"/>
              </a:solidFill>
              <a:latin typeface="Arial Narrow"/>
            </a:rPr>
            <a:pPr lvl="0" algn="ctr"/>
            <a:t>JUAN DELA CRUZ</a:t>
          </a:fld>
          <a:endParaRPr lang="en-US" sz="1200" b="1">
            <a:latin typeface="Arial Narrow" panose="020B0606020202030204" pitchFamily="34" charset="0"/>
          </a:endParaRPr>
        </a:p>
      </xdr:txBody>
    </xdr:sp>
    <xdr:clientData/>
  </xdr:twoCellAnchor>
  <xdr:twoCellAnchor>
    <xdr:from>
      <xdr:col>2</xdr:col>
      <xdr:colOff>160764</xdr:colOff>
      <xdr:row>1</xdr:row>
      <xdr:rowOff>0</xdr:rowOff>
    </xdr:from>
    <xdr:to>
      <xdr:col>2</xdr:col>
      <xdr:colOff>525114</xdr:colOff>
      <xdr:row>1</xdr:row>
      <xdr:rowOff>274926</xdr:rowOff>
    </xdr:to>
    <xdr:grpSp>
      <xdr:nvGrpSpPr>
        <xdr:cNvPr id="35" name="Group 34">
          <a:extLst>
            <a:ext uri="{FF2B5EF4-FFF2-40B4-BE49-F238E27FC236}">
              <a16:creationId xmlns:a16="http://schemas.microsoft.com/office/drawing/2014/main" id="{0FE9CCF2-50EB-490B-926E-4746F91439A3}"/>
            </a:ext>
          </a:extLst>
        </xdr:cNvPr>
        <xdr:cNvGrpSpPr/>
      </xdr:nvGrpSpPr>
      <xdr:grpSpPr>
        <a:xfrm>
          <a:off x="940693" y="143435"/>
          <a:ext cx="364350" cy="274926"/>
          <a:chOff x="14943988" y="883469"/>
          <a:chExt cx="339525" cy="274582"/>
        </a:xfrm>
      </xdr:grpSpPr>
      <xdr:sp macro="[0]!refresh_data" textlink="">
        <xdr:nvSpPr>
          <xdr:cNvPr id="36" name="Rectangle 35">
            <a:extLst>
              <a:ext uri="{FF2B5EF4-FFF2-40B4-BE49-F238E27FC236}">
                <a16:creationId xmlns:a16="http://schemas.microsoft.com/office/drawing/2014/main" id="{4F96E787-0D47-BA80-6719-CFB9FC817682}"/>
              </a:ext>
            </a:extLst>
          </xdr:cNvPr>
          <xdr:cNvSpPr/>
        </xdr:nvSpPr>
        <xdr:spPr>
          <a:xfrm>
            <a:off x="14943988" y="883469"/>
            <a:ext cx="339525" cy="27458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data">
        <xdr:nvPicPr>
          <xdr:cNvPr id="37" name="Graphic 36" descr="Repeat outline">
            <a:extLst>
              <a:ext uri="{FF2B5EF4-FFF2-40B4-BE49-F238E27FC236}">
                <a16:creationId xmlns:a16="http://schemas.microsoft.com/office/drawing/2014/main" id="{1A2E46EB-1590-D5D3-8CC1-709F2AB927C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004649" y="912435"/>
            <a:ext cx="218203" cy="216650"/>
          </a:xfrm>
          <a:prstGeom prst="rect">
            <a:avLst/>
          </a:prstGeom>
        </xdr:spPr>
      </xdr:pic>
    </xdr:grpSp>
    <xdr:clientData/>
  </xdr:twoCellAnchor>
  <xdr:twoCellAnchor>
    <xdr:from>
      <xdr:col>1</xdr:col>
      <xdr:colOff>35860</xdr:colOff>
      <xdr:row>1</xdr:row>
      <xdr:rowOff>0</xdr:rowOff>
    </xdr:from>
    <xdr:to>
      <xdr:col>1</xdr:col>
      <xdr:colOff>398511</xdr:colOff>
      <xdr:row>1</xdr:row>
      <xdr:rowOff>271628</xdr:rowOff>
    </xdr:to>
    <xdr:grpSp>
      <xdr:nvGrpSpPr>
        <xdr:cNvPr id="38" name="Group 37">
          <a:hlinkClick xmlns:r="http://schemas.openxmlformats.org/officeDocument/2006/relationships" r:id="rId10" tooltip="Go Back to Learner's Information"/>
          <a:extLst>
            <a:ext uri="{FF2B5EF4-FFF2-40B4-BE49-F238E27FC236}">
              <a16:creationId xmlns:a16="http://schemas.microsoft.com/office/drawing/2014/main" id="{4EAE4645-20DD-43AA-8FCD-4151FAFA733B}"/>
            </a:ext>
          </a:extLst>
        </xdr:cNvPr>
        <xdr:cNvGrpSpPr/>
      </xdr:nvGrpSpPr>
      <xdr:grpSpPr>
        <a:xfrm>
          <a:off x="116542" y="143435"/>
          <a:ext cx="362651" cy="271628"/>
          <a:chOff x="13788825" y="843442"/>
          <a:chExt cx="341964" cy="271284"/>
        </a:xfrm>
      </xdr:grpSpPr>
      <xdr:sp macro="" textlink="">
        <xdr:nvSpPr>
          <xdr:cNvPr id="39" name="Rectangle 38">
            <a:extLst>
              <a:ext uri="{FF2B5EF4-FFF2-40B4-BE49-F238E27FC236}">
                <a16:creationId xmlns:a16="http://schemas.microsoft.com/office/drawing/2014/main" id="{2D44DF33-D415-0A6E-316A-66A7AB853D11}"/>
              </a:ext>
            </a:extLst>
          </xdr:cNvPr>
          <xdr:cNvSpPr/>
        </xdr:nvSpPr>
        <xdr:spPr>
          <a:xfrm>
            <a:off x="13788825" y="843442"/>
            <a:ext cx="341964"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Graphic 39" descr="Back outline">
            <a:extLst>
              <a:ext uri="{FF2B5EF4-FFF2-40B4-BE49-F238E27FC236}">
                <a16:creationId xmlns:a16="http://schemas.microsoft.com/office/drawing/2014/main" id="{E667B164-3103-993F-2E65-57AFFB8824C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850707" y="864897"/>
            <a:ext cx="218201" cy="216650"/>
          </a:xfrm>
          <a:prstGeom prst="rect">
            <a:avLst/>
          </a:prstGeom>
        </xdr:spPr>
      </xdr:pic>
    </xdr:grpSp>
    <xdr:clientData/>
  </xdr:twoCellAnchor>
  <xdr:twoCellAnchor>
    <xdr:from>
      <xdr:col>1</xdr:col>
      <xdr:colOff>448333</xdr:colOff>
      <xdr:row>1</xdr:row>
      <xdr:rowOff>0</xdr:rowOff>
    </xdr:from>
    <xdr:to>
      <xdr:col>2</xdr:col>
      <xdr:colOff>115080</xdr:colOff>
      <xdr:row>1</xdr:row>
      <xdr:rowOff>271628</xdr:rowOff>
    </xdr:to>
    <xdr:grpSp>
      <xdr:nvGrpSpPr>
        <xdr:cNvPr id="41" name="Group 40">
          <a:hlinkClick xmlns:r="http://schemas.openxmlformats.org/officeDocument/2006/relationships" r:id="rId13" tooltip="Go Forward to Page 2"/>
          <a:extLst>
            <a:ext uri="{FF2B5EF4-FFF2-40B4-BE49-F238E27FC236}">
              <a16:creationId xmlns:a16="http://schemas.microsoft.com/office/drawing/2014/main" id="{E03CF4A0-1ACC-4331-869C-C5A60DE6371A}"/>
            </a:ext>
          </a:extLst>
        </xdr:cNvPr>
        <xdr:cNvGrpSpPr/>
      </xdr:nvGrpSpPr>
      <xdr:grpSpPr>
        <a:xfrm>
          <a:off x="529015" y="143435"/>
          <a:ext cx="365994" cy="271628"/>
          <a:chOff x="14282831" y="1456004"/>
          <a:chExt cx="341168" cy="271284"/>
        </a:xfrm>
      </xdr:grpSpPr>
      <xdr:sp macro="" textlink="">
        <xdr:nvSpPr>
          <xdr:cNvPr id="83" name="Rectangle 82">
            <a:extLst>
              <a:ext uri="{FF2B5EF4-FFF2-40B4-BE49-F238E27FC236}">
                <a16:creationId xmlns:a16="http://schemas.microsoft.com/office/drawing/2014/main" id="{2B27DDF1-5CC3-FCB5-8084-0D3167D281B8}"/>
              </a:ext>
            </a:extLst>
          </xdr:cNvPr>
          <xdr:cNvSpPr/>
        </xdr:nvSpPr>
        <xdr:spPr>
          <a:xfrm>
            <a:off x="14282831" y="1456004"/>
            <a:ext cx="341168"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4" name="Graphic 83" descr="Back outline">
            <a:extLst>
              <a:ext uri="{FF2B5EF4-FFF2-40B4-BE49-F238E27FC236}">
                <a16:creationId xmlns:a16="http://schemas.microsoft.com/office/drawing/2014/main" id="{05337F67-B702-F88A-C4C1-439FCFB11D2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4347261" y="1477631"/>
            <a:ext cx="212309" cy="216306"/>
          </a:xfrm>
          <a:prstGeom prst="rect">
            <a:avLst/>
          </a:prstGeom>
        </xdr:spPr>
      </xdr:pic>
    </xdr:grpSp>
    <xdr:clientData/>
  </xdr:twoCellAnchor>
  <xdr:twoCellAnchor>
    <xdr:from>
      <xdr:col>10</xdr:col>
      <xdr:colOff>412375</xdr:colOff>
      <xdr:row>1</xdr:row>
      <xdr:rowOff>0</xdr:rowOff>
    </xdr:from>
    <xdr:to>
      <xdr:col>11</xdr:col>
      <xdr:colOff>24336</xdr:colOff>
      <xdr:row>1</xdr:row>
      <xdr:rowOff>268056</xdr:rowOff>
    </xdr:to>
    <xdr:grpSp>
      <xdr:nvGrpSpPr>
        <xdr:cNvPr id="85" name="Group 84">
          <a:extLst>
            <a:ext uri="{FF2B5EF4-FFF2-40B4-BE49-F238E27FC236}">
              <a16:creationId xmlns:a16="http://schemas.microsoft.com/office/drawing/2014/main" id="{E3B315C1-E836-4CF8-80A1-16C8D0C99269}"/>
            </a:ext>
          </a:extLst>
        </xdr:cNvPr>
        <xdr:cNvGrpSpPr/>
      </xdr:nvGrpSpPr>
      <xdr:grpSpPr>
        <a:xfrm>
          <a:off x="14316634" y="143435"/>
          <a:ext cx="364996" cy="268056"/>
          <a:chOff x="13158867" y="1095823"/>
          <a:chExt cx="341964" cy="267712"/>
        </a:xfrm>
      </xdr:grpSpPr>
      <xdr:sp macro="[0]!print_sf10_G11_page" textlink="">
        <xdr:nvSpPr>
          <xdr:cNvPr id="86" name="Rectangle 85">
            <a:extLst>
              <a:ext uri="{FF2B5EF4-FFF2-40B4-BE49-F238E27FC236}">
                <a16:creationId xmlns:a16="http://schemas.microsoft.com/office/drawing/2014/main" id="{0D451034-8376-FF91-3247-706E39DE3493}"/>
              </a:ext>
            </a:extLst>
          </xdr:cNvPr>
          <xdr:cNvSpPr/>
        </xdr:nvSpPr>
        <xdr:spPr>
          <a:xfrm>
            <a:off x="13158867" y="1095823"/>
            <a:ext cx="341964" cy="26771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int_sf10_G11_page">
        <xdr:nvPicPr>
          <xdr:cNvPr id="87" name="Graphic 86" descr="Fax outline">
            <a:extLst>
              <a:ext uri="{FF2B5EF4-FFF2-40B4-BE49-F238E27FC236}">
                <a16:creationId xmlns:a16="http://schemas.microsoft.com/office/drawing/2014/main" id="{7BD6ACF1-69E4-9DC9-3484-E0D4C0D723D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221756" y="1112966"/>
            <a:ext cx="216187" cy="233427"/>
          </a:xfrm>
          <a:prstGeom prst="rect">
            <a:avLst/>
          </a:prstGeom>
        </xdr:spPr>
      </xdr:pic>
    </xdr:grpSp>
    <xdr:clientData/>
  </xdr:twoCellAnchor>
  <xdr:twoCellAnchor>
    <xdr:from>
      <xdr:col>10</xdr:col>
      <xdr:colOff>0</xdr:colOff>
      <xdr:row>1</xdr:row>
      <xdr:rowOff>0</xdr:rowOff>
    </xdr:from>
    <xdr:to>
      <xdr:col>10</xdr:col>
      <xdr:colOff>364996</xdr:colOff>
      <xdr:row>1</xdr:row>
      <xdr:rowOff>268056</xdr:rowOff>
    </xdr:to>
    <xdr:grpSp>
      <xdr:nvGrpSpPr>
        <xdr:cNvPr id="88" name="Group 87">
          <a:hlinkClick xmlns:r="http://schemas.openxmlformats.org/officeDocument/2006/relationships" r:id="rId18" tooltip="Save a Copy"/>
          <a:extLst>
            <a:ext uri="{FF2B5EF4-FFF2-40B4-BE49-F238E27FC236}">
              <a16:creationId xmlns:a16="http://schemas.microsoft.com/office/drawing/2014/main" id="{18EAAC23-624E-44E2-8185-E2BE5F018300}"/>
            </a:ext>
          </a:extLst>
        </xdr:cNvPr>
        <xdr:cNvGrpSpPr/>
      </xdr:nvGrpSpPr>
      <xdr:grpSpPr>
        <a:xfrm>
          <a:off x="13904259" y="143435"/>
          <a:ext cx="364996" cy="268056"/>
          <a:chOff x="13827365" y="995082"/>
          <a:chExt cx="364996" cy="268056"/>
        </a:xfrm>
      </xdr:grpSpPr>
      <xdr:sp macro="" textlink="">
        <xdr:nvSpPr>
          <xdr:cNvPr id="89" name="Rectangle 88">
            <a:extLst>
              <a:ext uri="{FF2B5EF4-FFF2-40B4-BE49-F238E27FC236}">
                <a16:creationId xmlns:a16="http://schemas.microsoft.com/office/drawing/2014/main" id="{6ACAE4FE-82FA-C18E-291F-2195D4C67A4D}"/>
              </a:ext>
            </a:extLst>
          </xdr:cNvPr>
          <xdr:cNvSpPr/>
        </xdr:nvSpPr>
        <xdr:spPr>
          <a:xfrm>
            <a:off x="13827365" y="995082"/>
            <a:ext cx="364996" cy="268056"/>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0" name="Graphic 89" descr="Download outline">
            <a:extLst>
              <a:ext uri="{FF2B5EF4-FFF2-40B4-BE49-F238E27FC236}">
                <a16:creationId xmlns:a16="http://schemas.microsoft.com/office/drawing/2014/main" id="{1CDAE778-F128-1E27-C269-AE944D3F281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3881847" y="1001094"/>
            <a:ext cx="256032" cy="256032"/>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xdr:colOff>
      <xdr:row>4</xdr:row>
      <xdr:rowOff>44825</xdr:rowOff>
    </xdr:from>
    <xdr:to>
      <xdr:col>11</xdr:col>
      <xdr:colOff>4888</xdr:colOff>
      <xdr:row>6</xdr:row>
      <xdr:rowOff>132386</xdr:rowOff>
    </xdr:to>
    <xdr:pic>
      <xdr:nvPicPr>
        <xdr:cNvPr id="19" name="Picture 18">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92823" y="770966"/>
          <a:ext cx="11865195" cy="428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20</xdr:row>
      <xdr:rowOff>29310</xdr:rowOff>
    </xdr:from>
    <xdr:to>
      <xdr:col>11</xdr:col>
      <xdr:colOff>45132</xdr:colOff>
      <xdr:row>27</xdr:row>
      <xdr:rowOff>95502</xdr:rowOff>
    </xdr:to>
    <xdr:pic>
      <xdr:nvPicPr>
        <xdr:cNvPr id="21" name="Picture 20">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92824" y="4986792"/>
          <a:ext cx="11905438" cy="13212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34</xdr:row>
      <xdr:rowOff>26895</xdr:rowOff>
    </xdr:from>
    <xdr:to>
      <xdr:col>10</xdr:col>
      <xdr:colOff>753034</xdr:colOff>
      <xdr:row>39</xdr:row>
      <xdr:rowOff>220064</xdr:rowOff>
    </xdr:to>
    <xdr:pic>
      <xdr:nvPicPr>
        <xdr:cNvPr id="22" name="Picture 21">
          <a:extLst>
            <a:ext uri="{FF2B5EF4-FFF2-40B4-BE49-F238E27FC236}">
              <a16:creationId xmlns:a16="http://schemas.microsoft.com/office/drawing/2014/main" id="{00000000-0008-0000-0600-00001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092824" y="8211671"/>
          <a:ext cx="11860305" cy="10860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52</xdr:row>
      <xdr:rowOff>38275</xdr:rowOff>
    </xdr:from>
    <xdr:to>
      <xdr:col>11</xdr:col>
      <xdr:colOff>44318</xdr:colOff>
      <xdr:row>54</xdr:row>
      <xdr:rowOff>161365</xdr:rowOff>
    </xdr:to>
    <xdr:pic>
      <xdr:nvPicPr>
        <xdr:cNvPr id="23" name="Picture 22">
          <a:extLst>
            <a:ext uri="{FF2B5EF4-FFF2-40B4-BE49-F238E27FC236}">
              <a16:creationId xmlns:a16="http://schemas.microsoft.com/office/drawing/2014/main" id="{00000000-0008-0000-06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63701"/>
        <a:stretch/>
      </xdr:blipFill>
      <xdr:spPr bwMode="auto">
        <a:xfrm>
          <a:off x="3092824" y="12750228"/>
          <a:ext cx="11904624" cy="4816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xdr:row>
      <xdr:rowOff>54428</xdr:rowOff>
    </xdr:from>
    <xdr:to>
      <xdr:col>10</xdr:col>
      <xdr:colOff>753033</xdr:colOff>
      <xdr:row>88</xdr:row>
      <xdr:rowOff>55525</xdr:rowOff>
    </xdr:to>
    <xdr:pic>
      <xdr:nvPicPr>
        <xdr:cNvPr id="25" name="Picture 24">
          <a:extLst>
            <a:ext uri="{FF2B5EF4-FFF2-40B4-BE49-F238E27FC236}">
              <a16:creationId xmlns:a16="http://schemas.microsoft.com/office/drawing/2014/main" id="{00000000-0008-0000-0600-000019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1445"/>
        <a:stretch/>
      </xdr:blipFill>
      <xdr:spPr bwMode="auto">
        <a:xfrm>
          <a:off x="3091543" y="16448314"/>
          <a:ext cx="11854542" cy="40723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55</xdr:row>
      <xdr:rowOff>21516</xdr:rowOff>
    </xdr:from>
    <xdr:to>
      <xdr:col>11</xdr:col>
      <xdr:colOff>44318</xdr:colOff>
      <xdr:row>60</xdr:row>
      <xdr:rowOff>12551</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860" b="-662"/>
        <a:stretch/>
      </xdr:blipFill>
      <xdr:spPr bwMode="auto">
        <a:xfrm>
          <a:off x="3093720" y="12670716"/>
          <a:ext cx="11904624" cy="8068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708660</xdr:colOff>
      <xdr:row>20</xdr:row>
      <xdr:rowOff>45720</xdr:rowOff>
    </xdr:from>
    <xdr:to>
      <xdr:col>6</xdr:col>
      <xdr:colOff>92784</xdr:colOff>
      <xdr:row>21</xdr:row>
      <xdr:rowOff>35842</xdr:rowOff>
    </xdr:to>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3802380" y="4610100"/>
          <a:ext cx="915744" cy="173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PROMOTED</a:t>
          </a:r>
        </a:p>
      </xdr:txBody>
    </xdr:sp>
    <xdr:clientData/>
  </xdr:twoCellAnchor>
  <xdr:twoCellAnchor editAs="oneCell">
    <xdr:from>
      <xdr:col>8</xdr:col>
      <xdr:colOff>187810</xdr:colOff>
      <xdr:row>23</xdr:row>
      <xdr:rowOff>91440</xdr:rowOff>
    </xdr:from>
    <xdr:to>
      <xdr:col>11</xdr:col>
      <xdr:colOff>20170</xdr:colOff>
      <xdr:row>24</xdr:row>
      <xdr:rowOff>111701</xdr:rowOff>
    </xdr:to>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12555070" y="5204460"/>
          <a:ext cx="2415540" cy="203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06/10/2023</a:t>
          </a:r>
        </a:p>
      </xdr:txBody>
    </xdr:sp>
    <xdr:clientData/>
  </xdr:twoCellAnchor>
  <xdr:twoCellAnchor editAs="oneCell">
    <xdr:from>
      <xdr:col>6</xdr:col>
      <xdr:colOff>1952064</xdr:colOff>
      <xdr:row>26</xdr:row>
      <xdr:rowOff>99957</xdr:rowOff>
    </xdr:from>
    <xdr:to>
      <xdr:col>6</xdr:col>
      <xdr:colOff>2660724</xdr:colOff>
      <xdr:row>27</xdr:row>
      <xdr:rowOff>74049</xdr:rowOff>
    </xdr:to>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6577404" y="5761617"/>
          <a:ext cx="708660" cy="15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3857064</xdr:colOff>
      <xdr:row>26</xdr:row>
      <xdr:rowOff>99957</xdr:rowOff>
    </xdr:from>
    <xdr:to>
      <xdr:col>6</xdr:col>
      <xdr:colOff>4634304</xdr:colOff>
      <xdr:row>27</xdr:row>
      <xdr:rowOff>72525</xdr:rowOff>
    </xdr:to>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482404" y="5761617"/>
          <a:ext cx="777240" cy="1554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5533464</xdr:colOff>
      <xdr:row>26</xdr:row>
      <xdr:rowOff>82404</xdr:rowOff>
    </xdr:from>
    <xdr:to>
      <xdr:col>8</xdr:col>
      <xdr:colOff>235670</xdr:colOff>
      <xdr:row>27</xdr:row>
      <xdr:rowOff>72525</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10158804" y="5744064"/>
          <a:ext cx="2444126"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b">
          <a:noAutofit/>
        </a:bodyPr>
        <a:lstStyle/>
        <a:p>
          <a:r>
            <a:rPr lang="en-US" sz="1100" b="1">
              <a:solidFill>
                <a:schemeClr val="bg1"/>
              </a:solidFill>
              <a:latin typeface="Arial Narrow" panose="020B0606020202030204" pitchFamily="34" charset="0"/>
            </a:rPr>
            <a:t>EAST GUSA NATIONAL HIGH SCHOOL</a:t>
          </a:r>
        </a:p>
      </xdr:txBody>
    </xdr:sp>
    <xdr:clientData/>
  </xdr:twoCellAnchor>
  <xdr:twoCellAnchor editAs="oneCell">
    <xdr:from>
      <xdr:col>10</xdr:col>
      <xdr:colOff>264010</xdr:colOff>
      <xdr:row>26</xdr:row>
      <xdr:rowOff>92337</xdr:rowOff>
    </xdr:from>
    <xdr:to>
      <xdr:col>11</xdr:col>
      <xdr:colOff>12550</xdr:colOff>
      <xdr:row>27</xdr:row>
      <xdr:rowOff>72525</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4460070" y="5753997"/>
          <a:ext cx="502920" cy="163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315407</a:t>
          </a:r>
        </a:p>
      </xdr:txBody>
    </xdr:sp>
    <xdr:clientData/>
  </xdr:twoCellAnchor>
  <xdr:twoCellAnchor editAs="oneCell">
    <xdr:from>
      <xdr:col>5</xdr:col>
      <xdr:colOff>701040</xdr:colOff>
      <xdr:row>37</xdr:row>
      <xdr:rowOff>156882</xdr:rowOff>
    </xdr:from>
    <xdr:to>
      <xdr:col>6</xdr:col>
      <xdr:colOff>1611304</xdr:colOff>
      <xdr:row>38</xdr:row>
      <xdr:rowOff>147003</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3794760" y="8272182"/>
          <a:ext cx="2441884"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EAST GUSA NATIONAL HIGH SCHOOL</a:t>
          </a:r>
        </a:p>
      </xdr:txBody>
    </xdr:sp>
    <xdr:clientData/>
  </xdr:twoCellAnchor>
  <xdr:twoCellAnchor editAs="oneCell">
    <xdr:from>
      <xdr:col>6</xdr:col>
      <xdr:colOff>4438815</xdr:colOff>
      <xdr:row>37</xdr:row>
      <xdr:rowOff>156882</xdr:rowOff>
    </xdr:from>
    <xdr:to>
      <xdr:col>6</xdr:col>
      <xdr:colOff>4952417</xdr:colOff>
      <xdr:row>38</xdr:row>
      <xdr:rowOff>147003</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9064155" y="8272182"/>
          <a:ext cx="513602"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315407</a:t>
          </a:r>
        </a:p>
      </xdr:txBody>
    </xdr:sp>
    <xdr:clientData/>
  </xdr:twoCellAnchor>
  <xdr:twoCellAnchor editAs="oneCell">
    <xdr:from>
      <xdr:col>6</xdr:col>
      <xdr:colOff>6798378</xdr:colOff>
      <xdr:row>37</xdr:row>
      <xdr:rowOff>156882</xdr:rowOff>
    </xdr:from>
    <xdr:to>
      <xdr:col>7</xdr:col>
      <xdr:colOff>101417</xdr:colOff>
      <xdr:row>38</xdr:row>
      <xdr:rowOff>147003</xdr:rowOff>
    </xdr:to>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1423718" y="8272182"/>
          <a:ext cx="237239"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11</a:t>
          </a:r>
        </a:p>
      </xdr:txBody>
    </xdr:sp>
    <xdr:clientData/>
  </xdr:twoCellAnchor>
  <xdr:twoCellAnchor editAs="oneCell">
    <xdr:from>
      <xdr:col>8</xdr:col>
      <xdr:colOff>338108</xdr:colOff>
      <xdr:row>37</xdr:row>
      <xdr:rowOff>156882</xdr:rowOff>
    </xdr:from>
    <xdr:to>
      <xdr:col>9</xdr:col>
      <xdr:colOff>225516</xdr:colOff>
      <xdr:row>38</xdr:row>
      <xdr:rowOff>147003</xdr:rowOff>
    </xdr:to>
    <xdr:sp macro="" textlink="">
      <xdr:nvSpPr>
        <xdr:cNvPr id="26" name="TextBox 25">
          <a:extLst>
            <a:ext uri="{FF2B5EF4-FFF2-40B4-BE49-F238E27FC236}">
              <a16:creationId xmlns:a16="http://schemas.microsoft.com/office/drawing/2014/main" id="{00000000-0008-0000-0600-00001A000000}"/>
            </a:ext>
          </a:extLst>
        </xdr:cNvPr>
        <xdr:cNvSpPr txBox="1"/>
      </xdr:nvSpPr>
      <xdr:spPr>
        <a:xfrm>
          <a:off x="12705368" y="8272182"/>
          <a:ext cx="695128"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2023-2024</a:t>
          </a:r>
        </a:p>
      </xdr:txBody>
    </xdr:sp>
    <xdr:clientData/>
  </xdr:twoCellAnchor>
  <xdr:twoCellAnchor editAs="oneCell">
    <xdr:from>
      <xdr:col>10</xdr:col>
      <xdr:colOff>254026</xdr:colOff>
      <xdr:row>37</xdr:row>
      <xdr:rowOff>156882</xdr:rowOff>
    </xdr:from>
    <xdr:to>
      <xdr:col>10</xdr:col>
      <xdr:colOff>577833</xdr:colOff>
      <xdr:row>38</xdr:row>
      <xdr:rowOff>147003</xdr:rowOff>
    </xdr:to>
    <xdr:sp macro="" textlink="">
      <xdr:nvSpPr>
        <xdr:cNvPr id="27" name="TextBox 26">
          <a:extLst>
            <a:ext uri="{FF2B5EF4-FFF2-40B4-BE49-F238E27FC236}">
              <a16:creationId xmlns:a16="http://schemas.microsoft.com/office/drawing/2014/main" id="{00000000-0008-0000-0600-00001B000000}"/>
            </a:ext>
          </a:extLst>
        </xdr:cNvPr>
        <xdr:cNvSpPr txBox="1"/>
      </xdr:nvSpPr>
      <xdr:spPr>
        <a:xfrm>
          <a:off x="14450086" y="8272182"/>
          <a:ext cx="32380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2ND</a:t>
          </a:r>
        </a:p>
      </xdr:txBody>
    </xdr:sp>
    <xdr:clientData/>
  </xdr:twoCellAnchor>
  <xdr:twoCellAnchor editAs="oneCell">
    <xdr:from>
      <xdr:col>5</xdr:col>
      <xdr:colOff>1068902</xdr:colOff>
      <xdr:row>39</xdr:row>
      <xdr:rowOff>24111</xdr:rowOff>
    </xdr:from>
    <xdr:to>
      <xdr:col>6</xdr:col>
      <xdr:colOff>2525277</xdr:colOff>
      <xdr:row>39</xdr:row>
      <xdr:rowOff>197112</xdr:rowOff>
    </xdr:to>
    <xdr:sp macro="" textlink="">
      <xdr:nvSpPr>
        <xdr:cNvPr id="28" name="TextBox 27">
          <a:extLst>
            <a:ext uri="{FF2B5EF4-FFF2-40B4-BE49-F238E27FC236}">
              <a16:creationId xmlns:a16="http://schemas.microsoft.com/office/drawing/2014/main" id="{00000000-0008-0000-0600-00001C000000}"/>
            </a:ext>
          </a:extLst>
        </xdr:cNvPr>
        <xdr:cNvSpPr txBox="1"/>
      </xdr:nvSpPr>
      <xdr:spPr>
        <a:xfrm>
          <a:off x="4162622" y="8505171"/>
          <a:ext cx="298799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TECHNICAL</a:t>
          </a:r>
          <a:r>
            <a:rPr lang="en-US" sz="1200" b="1" baseline="0">
              <a:solidFill>
                <a:schemeClr val="bg1"/>
              </a:solidFill>
              <a:latin typeface="Arial Narrow" panose="020B0606020202030204" pitchFamily="34" charset="0"/>
            </a:rPr>
            <a:t>-</a:t>
          </a:r>
          <a:r>
            <a:rPr lang="en-US" sz="1200" b="1">
              <a:solidFill>
                <a:schemeClr val="bg1"/>
              </a:solidFill>
              <a:latin typeface="Arial Narrow" panose="020B0606020202030204" pitchFamily="34" charset="0"/>
            </a:rPr>
            <a:t>VOCATIONAL-LIVELIHOOD TRACK</a:t>
          </a:r>
        </a:p>
      </xdr:txBody>
    </xdr:sp>
    <xdr:clientData/>
  </xdr:twoCellAnchor>
  <xdr:twoCellAnchor editAs="oneCell">
    <xdr:from>
      <xdr:col>6</xdr:col>
      <xdr:colOff>6798396</xdr:colOff>
      <xdr:row>39</xdr:row>
      <xdr:rowOff>24111</xdr:rowOff>
    </xdr:from>
    <xdr:to>
      <xdr:col>10</xdr:col>
      <xdr:colOff>701251</xdr:colOff>
      <xdr:row>39</xdr:row>
      <xdr:rowOff>197112</xdr:rowOff>
    </xdr:to>
    <xdr:sp macro="" textlink="">
      <xdr:nvSpPr>
        <xdr:cNvPr id="29" name="TextBox 28">
          <a:extLst>
            <a:ext uri="{FF2B5EF4-FFF2-40B4-BE49-F238E27FC236}">
              <a16:creationId xmlns:a16="http://schemas.microsoft.com/office/drawing/2014/main" id="{00000000-0008-0000-0600-00001D000000}"/>
            </a:ext>
          </a:extLst>
        </xdr:cNvPr>
        <xdr:cNvSpPr txBox="1"/>
      </xdr:nvSpPr>
      <xdr:spPr>
        <a:xfrm>
          <a:off x="11423736" y="8505171"/>
          <a:ext cx="347357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ELECTRICAL INSTALLATION</a:t>
          </a:r>
          <a:r>
            <a:rPr lang="en-US" sz="1200" b="1" baseline="0">
              <a:solidFill>
                <a:schemeClr val="bg1"/>
              </a:solidFill>
              <a:latin typeface="Arial Narrow" panose="020B0606020202030204" pitchFamily="34" charset="0"/>
            </a:rPr>
            <a:t> AND MAINTENANCE </a:t>
          </a:r>
          <a:r>
            <a:rPr lang="en-US" sz="1200" b="1">
              <a:solidFill>
                <a:schemeClr val="bg1"/>
              </a:solidFill>
              <a:latin typeface="Arial Narrow" panose="020B0606020202030204" pitchFamily="34" charset="0"/>
            </a:rPr>
            <a:t>(EIM)</a:t>
          </a:r>
        </a:p>
      </xdr:txBody>
    </xdr:sp>
    <xdr:clientData/>
  </xdr:twoCellAnchor>
  <xdr:twoCellAnchor editAs="oneCell">
    <xdr:from>
      <xdr:col>6</xdr:col>
      <xdr:colOff>184224</xdr:colOff>
      <xdr:row>34</xdr:row>
      <xdr:rowOff>99060</xdr:rowOff>
    </xdr:from>
    <xdr:to>
      <xdr:col>6</xdr:col>
      <xdr:colOff>3864684</xdr:colOff>
      <xdr:row>35</xdr:row>
      <xdr:rowOff>119661</xdr:rowOff>
    </xdr:to>
    <xdr:sp macro="" textlink="">
      <xdr:nvSpPr>
        <xdr:cNvPr id="30" name="TextBox 29">
          <a:extLst>
            <a:ext uri="{FF2B5EF4-FFF2-40B4-BE49-F238E27FC236}">
              <a16:creationId xmlns:a16="http://schemas.microsoft.com/office/drawing/2014/main" id="{00000000-0008-0000-0600-00001E000000}"/>
            </a:ext>
          </a:extLst>
        </xdr:cNvPr>
        <xdr:cNvSpPr txBox="1"/>
      </xdr:nvSpPr>
      <xdr:spPr>
        <a:xfrm>
          <a:off x="4809564" y="7665720"/>
          <a:ext cx="3680460" cy="203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5</xdr:col>
      <xdr:colOff>701040</xdr:colOff>
      <xdr:row>52</xdr:row>
      <xdr:rowOff>45720</xdr:rowOff>
    </xdr:from>
    <xdr:to>
      <xdr:col>6</xdr:col>
      <xdr:colOff>85164</xdr:colOff>
      <xdr:row>53</xdr:row>
      <xdr:rowOff>35842</xdr:rowOff>
    </xdr:to>
    <xdr:sp macro="" textlink="">
      <xdr:nvSpPr>
        <xdr:cNvPr id="31" name="TextBox 30">
          <a:extLst>
            <a:ext uri="{FF2B5EF4-FFF2-40B4-BE49-F238E27FC236}">
              <a16:creationId xmlns:a16="http://schemas.microsoft.com/office/drawing/2014/main" id="{00000000-0008-0000-0600-00001F000000}"/>
            </a:ext>
          </a:extLst>
        </xdr:cNvPr>
        <xdr:cNvSpPr txBox="1"/>
      </xdr:nvSpPr>
      <xdr:spPr>
        <a:xfrm>
          <a:off x="3794760" y="12146280"/>
          <a:ext cx="915744" cy="173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PROMOTED</a:t>
          </a:r>
        </a:p>
      </xdr:txBody>
    </xdr:sp>
    <xdr:clientData/>
  </xdr:twoCellAnchor>
  <xdr:twoCellAnchor editAs="oneCell">
    <xdr:from>
      <xdr:col>5</xdr:col>
      <xdr:colOff>22860</xdr:colOff>
      <xdr:row>55</xdr:row>
      <xdr:rowOff>99060</xdr:rowOff>
    </xdr:from>
    <xdr:to>
      <xdr:col>6</xdr:col>
      <xdr:colOff>2173044</xdr:colOff>
      <xdr:row>56</xdr:row>
      <xdr:rowOff>116076</xdr:rowOff>
    </xdr:to>
    <xdr:sp macro="" textlink="">
      <xdr:nvSpPr>
        <xdr:cNvPr id="32" name="TextBox 31">
          <a:extLst>
            <a:ext uri="{FF2B5EF4-FFF2-40B4-BE49-F238E27FC236}">
              <a16:creationId xmlns:a16="http://schemas.microsoft.com/office/drawing/2014/main" id="{00000000-0008-0000-0600-000020000000}"/>
            </a:ext>
          </a:extLst>
        </xdr:cNvPr>
        <xdr:cNvSpPr txBox="1"/>
      </xdr:nvSpPr>
      <xdr:spPr>
        <a:xfrm>
          <a:off x="3116580" y="12748260"/>
          <a:ext cx="3681804" cy="1998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JAMES RHODE E. SALAC</a:t>
          </a:r>
        </a:p>
      </xdr:txBody>
    </xdr:sp>
    <xdr:clientData/>
  </xdr:twoCellAnchor>
  <xdr:twoCellAnchor editAs="oneCell">
    <xdr:from>
      <xdr:col>6</xdr:col>
      <xdr:colOff>3041724</xdr:colOff>
      <xdr:row>55</xdr:row>
      <xdr:rowOff>91440</xdr:rowOff>
    </xdr:from>
    <xdr:to>
      <xdr:col>7</xdr:col>
      <xdr:colOff>51547</xdr:colOff>
      <xdr:row>56</xdr:row>
      <xdr:rowOff>111701</xdr:rowOff>
    </xdr:to>
    <xdr:sp macro="" textlink="">
      <xdr:nvSpPr>
        <xdr:cNvPr id="33" name="TextBox 32">
          <a:extLst>
            <a:ext uri="{FF2B5EF4-FFF2-40B4-BE49-F238E27FC236}">
              <a16:creationId xmlns:a16="http://schemas.microsoft.com/office/drawing/2014/main" id="{00000000-0008-0000-0600-000021000000}"/>
            </a:ext>
          </a:extLst>
        </xdr:cNvPr>
        <xdr:cNvSpPr txBox="1"/>
      </xdr:nvSpPr>
      <xdr:spPr>
        <a:xfrm>
          <a:off x="7667064" y="12740640"/>
          <a:ext cx="3944023" cy="203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MANUEL L. LINCARO JR.</a:t>
          </a:r>
        </a:p>
      </xdr:txBody>
    </xdr:sp>
    <xdr:clientData/>
  </xdr:twoCellAnchor>
  <xdr:twoCellAnchor editAs="oneCell">
    <xdr:from>
      <xdr:col>8</xdr:col>
      <xdr:colOff>180190</xdr:colOff>
      <xdr:row>55</xdr:row>
      <xdr:rowOff>91440</xdr:rowOff>
    </xdr:from>
    <xdr:to>
      <xdr:col>11</xdr:col>
      <xdr:colOff>12550</xdr:colOff>
      <xdr:row>56</xdr:row>
      <xdr:rowOff>111701</xdr:rowOff>
    </xdr:to>
    <xdr:sp macro="" textlink="">
      <xdr:nvSpPr>
        <xdr:cNvPr id="34" name="TextBox 33">
          <a:extLst>
            <a:ext uri="{FF2B5EF4-FFF2-40B4-BE49-F238E27FC236}">
              <a16:creationId xmlns:a16="http://schemas.microsoft.com/office/drawing/2014/main" id="{00000000-0008-0000-0600-000022000000}"/>
            </a:ext>
          </a:extLst>
        </xdr:cNvPr>
        <xdr:cNvSpPr txBox="1"/>
      </xdr:nvSpPr>
      <xdr:spPr>
        <a:xfrm>
          <a:off x="12547450" y="12740640"/>
          <a:ext cx="2415540" cy="203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06/10/2023</a:t>
          </a:r>
        </a:p>
      </xdr:txBody>
    </xdr:sp>
    <xdr:clientData/>
  </xdr:twoCellAnchor>
  <xdr:twoCellAnchor editAs="oneCell">
    <xdr:from>
      <xdr:col>6</xdr:col>
      <xdr:colOff>1944444</xdr:colOff>
      <xdr:row>58</xdr:row>
      <xdr:rowOff>51924</xdr:rowOff>
    </xdr:from>
    <xdr:to>
      <xdr:col>6</xdr:col>
      <xdr:colOff>2653104</xdr:colOff>
      <xdr:row>59</xdr:row>
      <xdr:rowOff>70212</xdr:rowOff>
    </xdr:to>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6569784" y="13249764"/>
          <a:ext cx="70866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3849444</xdr:colOff>
      <xdr:row>58</xdr:row>
      <xdr:rowOff>51924</xdr:rowOff>
    </xdr:from>
    <xdr:to>
      <xdr:col>6</xdr:col>
      <xdr:colOff>4626684</xdr:colOff>
      <xdr:row>59</xdr:row>
      <xdr:rowOff>70212</xdr:rowOff>
    </xdr:to>
    <xdr:sp macro="" textlink="">
      <xdr:nvSpPr>
        <xdr:cNvPr id="36" name="TextBox 35">
          <a:extLst>
            <a:ext uri="{FF2B5EF4-FFF2-40B4-BE49-F238E27FC236}">
              <a16:creationId xmlns:a16="http://schemas.microsoft.com/office/drawing/2014/main" id="{00000000-0008-0000-0600-000024000000}"/>
            </a:ext>
          </a:extLst>
        </xdr:cNvPr>
        <xdr:cNvSpPr txBox="1"/>
      </xdr:nvSpPr>
      <xdr:spPr>
        <a:xfrm>
          <a:off x="8474784" y="13249764"/>
          <a:ext cx="77724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5525844</xdr:colOff>
      <xdr:row>58</xdr:row>
      <xdr:rowOff>51924</xdr:rowOff>
    </xdr:from>
    <xdr:to>
      <xdr:col>8</xdr:col>
      <xdr:colOff>228050</xdr:colOff>
      <xdr:row>59</xdr:row>
      <xdr:rowOff>70212</xdr:rowOff>
    </xdr:to>
    <xdr:sp macro="" textlink="">
      <xdr:nvSpPr>
        <xdr:cNvPr id="37" name="TextBox 36">
          <a:extLst>
            <a:ext uri="{FF2B5EF4-FFF2-40B4-BE49-F238E27FC236}">
              <a16:creationId xmlns:a16="http://schemas.microsoft.com/office/drawing/2014/main" id="{00000000-0008-0000-0600-000025000000}"/>
            </a:ext>
          </a:extLst>
        </xdr:cNvPr>
        <xdr:cNvSpPr txBox="1"/>
      </xdr:nvSpPr>
      <xdr:spPr>
        <a:xfrm>
          <a:off x="10151184" y="13249764"/>
          <a:ext cx="2444126"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b">
          <a:noAutofit/>
        </a:bodyPr>
        <a:lstStyle/>
        <a:p>
          <a:r>
            <a:rPr lang="en-US" sz="1100" b="1">
              <a:solidFill>
                <a:schemeClr val="bg1"/>
              </a:solidFill>
              <a:latin typeface="Arial Narrow" panose="020B0606020202030204" pitchFamily="34" charset="0"/>
            </a:rPr>
            <a:t>EAST GUSA NATIONAL HIGH SCHOOL</a:t>
          </a:r>
        </a:p>
      </xdr:txBody>
    </xdr:sp>
    <xdr:clientData/>
  </xdr:twoCellAnchor>
  <xdr:twoCellAnchor editAs="oneCell">
    <xdr:from>
      <xdr:col>10</xdr:col>
      <xdr:colOff>256390</xdr:colOff>
      <xdr:row>58</xdr:row>
      <xdr:rowOff>51924</xdr:rowOff>
    </xdr:from>
    <xdr:to>
      <xdr:col>11</xdr:col>
      <xdr:colOff>4930</xdr:colOff>
      <xdr:row>59</xdr:row>
      <xdr:rowOff>70212</xdr:rowOff>
    </xdr:to>
    <xdr:sp macro="" textlink="">
      <xdr:nvSpPr>
        <xdr:cNvPr id="38" name="TextBox 37">
          <a:extLst>
            <a:ext uri="{FF2B5EF4-FFF2-40B4-BE49-F238E27FC236}">
              <a16:creationId xmlns:a16="http://schemas.microsoft.com/office/drawing/2014/main" id="{00000000-0008-0000-0600-000026000000}"/>
            </a:ext>
          </a:extLst>
        </xdr:cNvPr>
        <xdr:cNvSpPr txBox="1"/>
      </xdr:nvSpPr>
      <xdr:spPr>
        <a:xfrm>
          <a:off x="14452450" y="13249764"/>
          <a:ext cx="50292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315407</a:t>
          </a:r>
        </a:p>
      </xdr:txBody>
    </xdr:sp>
    <xdr:clientData/>
  </xdr:twoCellAnchor>
  <xdr:twoCellAnchor editAs="oneCell">
    <xdr:from>
      <xdr:col>6</xdr:col>
      <xdr:colOff>327660</xdr:colOff>
      <xdr:row>68</xdr:row>
      <xdr:rowOff>99060</xdr:rowOff>
    </xdr:from>
    <xdr:to>
      <xdr:col>6</xdr:col>
      <xdr:colOff>4008120</xdr:colOff>
      <xdr:row>69</xdr:row>
      <xdr:rowOff>119661</xdr:rowOff>
    </xdr:to>
    <xdr:sp macro="" textlink="">
      <xdr:nvSpPr>
        <xdr:cNvPr id="39" name="TextBox 38">
          <a:extLst>
            <a:ext uri="{FF2B5EF4-FFF2-40B4-BE49-F238E27FC236}">
              <a16:creationId xmlns:a16="http://schemas.microsoft.com/office/drawing/2014/main" id="{00000000-0008-0000-0600-000027000000}"/>
            </a:ext>
          </a:extLst>
        </xdr:cNvPr>
        <xdr:cNvSpPr txBox="1"/>
      </xdr:nvSpPr>
      <xdr:spPr>
        <a:xfrm>
          <a:off x="4953000" y="15636240"/>
          <a:ext cx="3680460" cy="203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6</xdr:col>
      <xdr:colOff>327660</xdr:colOff>
      <xdr:row>69</xdr:row>
      <xdr:rowOff>124178</xdr:rowOff>
    </xdr:from>
    <xdr:to>
      <xdr:col>6</xdr:col>
      <xdr:colOff>4008120</xdr:colOff>
      <xdr:row>70</xdr:row>
      <xdr:rowOff>144779</xdr:rowOff>
    </xdr:to>
    <xdr:sp macro="" textlink="">
      <xdr:nvSpPr>
        <xdr:cNvPr id="40" name="TextBox 39">
          <a:extLst>
            <a:ext uri="{FF2B5EF4-FFF2-40B4-BE49-F238E27FC236}">
              <a16:creationId xmlns:a16="http://schemas.microsoft.com/office/drawing/2014/main" id="{00000000-0008-0000-0600-000028000000}"/>
            </a:ext>
          </a:extLst>
        </xdr:cNvPr>
        <xdr:cNvSpPr txBox="1"/>
      </xdr:nvSpPr>
      <xdr:spPr>
        <a:xfrm>
          <a:off x="4953000" y="15844238"/>
          <a:ext cx="3680460" cy="203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WITH HIGHEST HONOR</a:t>
          </a:r>
        </a:p>
      </xdr:txBody>
    </xdr:sp>
    <xdr:clientData/>
  </xdr:twoCellAnchor>
  <xdr:twoCellAnchor editAs="oneCell">
    <xdr:from>
      <xdr:col>10</xdr:col>
      <xdr:colOff>167640</xdr:colOff>
      <xdr:row>68</xdr:row>
      <xdr:rowOff>106680</xdr:rowOff>
    </xdr:from>
    <xdr:to>
      <xdr:col>10</xdr:col>
      <xdr:colOff>731520</xdr:colOff>
      <xdr:row>69</xdr:row>
      <xdr:rowOff>119661</xdr:rowOff>
    </xdr:to>
    <xdr:sp macro="" textlink="">
      <xdr:nvSpPr>
        <xdr:cNvPr id="41" name="TextBox 40">
          <a:extLst>
            <a:ext uri="{FF2B5EF4-FFF2-40B4-BE49-F238E27FC236}">
              <a16:creationId xmlns:a16="http://schemas.microsoft.com/office/drawing/2014/main" id="{00000000-0008-0000-0600-000029000000}"/>
            </a:ext>
          </a:extLst>
        </xdr:cNvPr>
        <xdr:cNvSpPr txBox="1"/>
      </xdr:nvSpPr>
      <xdr:spPr>
        <a:xfrm>
          <a:off x="14363700" y="15643860"/>
          <a:ext cx="563880" cy="195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89</a:t>
          </a:r>
        </a:p>
      </xdr:txBody>
    </xdr:sp>
    <xdr:clientData/>
  </xdr:twoCellAnchor>
  <xdr:twoCellAnchor editAs="oneCell">
    <xdr:from>
      <xdr:col>9</xdr:col>
      <xdr:colOff>952500</xdr:colOff>
      <xdr:row>69</xdr:row>
      <xdr:rowOff>129540</xdr:rowOff>
    </xdr:from>
    <xdr:to>
      <xdr:col>10</xdr:col>
      <xdr:colOff>716280</xdr:colOff>
      <xdr:row>70</xdr:row>
      <xdr:rowOff>144779</xdr:rowOff>
    </xdr:to>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14127480" y="15849600"/>
          <a:ext cx="784860" cy="1981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06/22/2023</a:t>
          </a:r>
        </a:p>
      </xdr:txBody>
    </xdr:sp>
    <xdr:clientData/>
  </xdr:twoCellAnchor>
  <xdr:twoCellAnchor editAs="oneCell">
    <xdr:from>
      <xdr:col>5</xdr:col>
      <xdr:colOff>7621</xdr:colOff>
      <xdr:row>73</xdr:row>
      <xdr:rowOff>83820</xdr:rowOff>
    </xdr:from>
    <xdr:to>
      <xdr:col>6</xdr:col>
      <xdr:colOff>1630681</xdr:colOff>
      <xdr:row>74</xdr:row>
      <xdr:rowOff>65980</xdr:rowOff>
    </xdr:to>
    <xdr:sp macro="" textlink="">
      <xdr:nvSpPr>
        <xdr:cNvPr id="43" name="TextBox 42">
          <a:extLst>
            <a:ext uri="{FF2B5EF4-FFF2-40B4-BE49-F238E27FC236}">
              <a16:creationId xmlns:a16="http://schemas.microsoft.com/office/drawing/2014/main" id="{00000000-0008-0000-0600-00002B000000}"/>
            </a:ext>
          </a:extLst>
        </xdr:cNvPr>
        <xdr:cNvSpPr txBox="1"/>
      </xdr:nvSpPr>
      <xdr:spPr>
        <a:xfrm>
          <a:off x="3101341" y="16535400"/>
          <a:ext cx="3154680" cy="1650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MANUEL L. LINCARO JR.</a:t>
          </a:r>
        </a:p>
      </xdr:txBody>
    </xdr:sp>
    <xdr:clientData/>
  </xdr:twoCellAnchor>
  <xdr:twoCellAnchor editAs="oneCell">
    <xdr:from>
      <xdr:col>6</xdr:col>
      <xdr:colOff>487680</xdr:colOff>
      <xdr:row>66</xdr:row>
      <xdr:rowOff>68580</xdr:rowOff>
    </xdr:from>
    <xdr:to>
      <xdr:col>6</xdr:col>
      <xdr:colOff>4168140</xdr:colOff>
      <xdr:row>67</xdr:row>
      <xdr:rowOff>89181</xdr:rowOff>
    </xdr:to>
    <xdr:sp macro="" textlink="">
      <xdr:nvSpPr>
        <xdr:cNvPr id="44" name="TextBox 43">
          <a:extLst>
            <a:ext uri="{FF2B5EF4-FFF2-40B4-BE49-F238E27FC236}">
              <a16:creationId xmlns:a16="http://schemas.microsoft.com/office/drawing/2014/main" id="{00000000-0008-0000-0600-00002C000000}"/>
            </a:ext>
          </a:extLst>
        </xdr:cNvPr>
        <xdr:cNvSpPr txBox="1"/>
      </xdr:nvSpPr>
      <xdr:spPr>
        <a:xfrm>
          <a:off x="5113020" y="15240000"/>
          <a:ext cx="3680460" cy="203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6</xdr:col>
      <xdr:colOff>2110740</xdr:colOff>
      <xdr:row>73</xdr:row>
      <xdr:rowOff>83820</xdr:rowOff>
    </xdr:from>
    <xdr:to>
      <xdr:col>6</xdr:col>
      <xdr:colOff>4030980</xdr:colOff>
      <xdr:row>74</xdr:row>
      <xdr:rowOff>65531</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6736080" y="16535400"/>
          <a:ext cx="19202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ctr"/>
          <a:r>
            <a:rPr lang="en-US" sz="1200" b="1">
              <a:solidFill>
                <a:schemeClr val="bg1"/>
              </a:solidFill>
              <a:latin typeface="Arial Narrow" panose="020B0606020202030204" pitchFamily="34" charset="0"/>
            </a:rPr>
            <a:t>06/22/2023</a:t>
          </a:r>
        </a:p>
      </xdr:txBody>
    </xdr:sp>
    <xdr:clientData/>
  </xdr:twoCellAnchor>
  <xdr:twoCellAnchor editAs="oneCell">
    <xdr:from>
      <xdr:col>6</xdr:col>
      <xdr:colOff>480060</xdr:colOff>
      <xdr:row>87</xdr:row>
      <xdr:rowOff>45720</xdr:rowOff>
    </xdr:from>
    <xdr:to>
      <xdr:col>6</xdr:col>
      <xdr:colOff>1470660</xdr:colOff>
      <xdr:row>88</xdr:row>
      <xdr:rowOff>27432</xdr:rowOff>
    </xdr:to>
    <xdr:sp macro="" textlink="">
      <xdr:nvSpPr>
        <xdr:cNvPr id="46" name="TextBox 45">
          <a:extLst>
            <a:ext uri="{FF2B5EF4-FFF2-40B4-BE49-F238E27FC236}">
              <a16:creationId xmlns:a16="http://schemas.microsoft.com/office/drawing/2014/main" id="{00000000-0008-0000-0600-00002E000000}"/>
            </a:ext>
          </a:extLst>
        </xdr:cNvPr>
        <xdr:cNvSpPr txBox="1"/>
      </xdr:nvSpPr>
      <xdr:spPr>
        <a:xfrm>
          <a:off x="5105400" y="19057620"/>
          <a:ext cx="99060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ctr"/>
          <a:r>
            <a:rPr lang="en-US" sz="1200" b="1">
              <a:solidFill>
                <a:schemeClr val="bg1"/>
              </a:solidFill>
              <a:latin typeface="Arial Narrow" panose="020B0606020202030204" pitchFamily="34" charset="0"/>
            </a:rPr>
            <a:t>06/22/2023</a:t>
          </a:r>
        </a:p>
      </xdr:txBody>
    </xdr:sp>
    <xdr:clientData/>
  </xdr:twoCellAnchor>
  <xdr:twoCellAnchor editAs="oneCell">
    <xdr:from>
      <xdr:col>1</xdr:col>
      <xdr:colOff>17926</xdr:colOff>
      <xdr:row>2</xdr:row>
      <xdr:rowOff>17927</xdr:rowOff>
    </xdr:from>
    <xdr:to>
      <xdr:col>2</xdr:col>
      <xdr:colOff>799084</xdr:colOff>
      <xdr:row>4</xdr:row>
      <xdr:rowOff>78411</xdr:rowOff>
    </xdr:to>
    <xdr:sp macro="" textlink="">
      <xdr:nvSpPr>
        <xdr:cNvPr id="50" name="TextBox 49">
          <a:extLst>
            <a:ext uri="{FF2B5EF4-FFF2-40B4-BE49-F238E27FC236}">
              <a16:creationId xmlns:a16="http://schemas.microsoft.com/office/drawing/2014/main" id="{00000000-0008-0000-0600-000032000000}"/>
            </a:ext>
          </a:extLst>
        </xdr:cNvPr>
        <xdr:cNvSpPr txBox="1"/>
      </xdr:nvSpPr>
      <xdr:spPr>
        <a:xfrm>
          <a:off x="101746" y="597047"/>
          <a:ext cx="148040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STUDENT NAMES</a:t>
          </a:r>
        </a:p>
      </xdr:txBody>
    </xdr:sp>
    <xdr:clientData/>
  </xdr:twoCellAnchor>
  <xdr:twoCellAnchor editAs="oneCell">
    <xdr:from>
      <xdr:col>5</xdr:col>
      <xdr:colOff>690284</xdr:colOff>
      <xdr:row>4</xdr:row>
      <xdr:rowOff>57298</xdr:rowOff>
    </xdr:from>
    <xdr:to>
      <xdr:col>6</xdr:col>
      <xdr:colOff>1599204</xdr:colOff>
      <xdr:row>5</xdr:row>
      <xdr:rowOff>59970</xdr:rowOff>
    </xdr:to>
    <xdr:sp macro="" textlink="DATA_INPUT!$C$22">
      <xdr:nvSpPr>
        <xdr:cNvPr id="47" name="TextBox 46">
          <a:extLst>
            <a:ext uri="{FF2B5EF4-FFF2-40B4-BE49-F238E27FC236}">
              <a16:creationId xmlns:a16="http://schemas.microsoft.com/office/drawing/2014/main" id="{00000000-0008-0000-0600-00002F000000}"/>
            </a:ext>
          </a:extLst>
        </xdr:cNvPr>
        <xdr:cNvSpPr txBox="1">
          <a:spLocks/>
        </xdr:cNvSpPr>
      </xdr:nvSpPr>
      <xdr:spPr>
        <a:xfrm>
          <a:off x="3466614" y="878933"/>
          <a:ext cx="2439547"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C6BE0A4-92DD-4104-82CF-9D61E740331A}" type="TxLink">
            <a:rPr lang="en-US" sz="1200" b="1" i="0" u="none" strike="noStrike">
              <a:solidFill>
                <a:srgbClr val="000000"/>
              </a:solidFill>
              <a:latin typeface="Arial Narrow"/>
            </a:rPr>
            <a:pPr/>
            <a:t>EAST GUSA NATIONAL HIGH SCHOOL</a:t>
          </a:fld>
          <a:endParaRPr lang="en-US" sz="1200" b="1">
            <a:latin typeface="Arial Narrow" panose="020B0606020202030204" pitchFamily="34" charset="0"/>
          </a:endParaRPr>
        </a:p>
      </xdr:txBody>
    </xdr:sp>
    <xdr:clientData/>
  </xdr:twoCellAnchor>
  <xdr:twoCellAnchor editAs="oneCell">
    <xdr:from>
      <xdr:col>6</xdr:col>
      <xdr:colOff>4426715</xdr:colOff>
      <xdr:row>4</xdr:row>
      <xdr:rowOff>57298</xdr:rowOff>
    </xdr:from>
    <xdr:to>
      <xdr:col>6</xdr:col>
      <xdr:colOff>4940317</xdr:colOff>
      <xdr:row>5</xdr:row>
      <xdr:rowOff>59970</xdr:rowOff>
    </xdr:to>
    <xdr:sp macro="" textlink="DATA_INPUT!$C$23">
      <xdr:nvSpPr>
        <xdr:cNvPr id="48" name="TextBox 47">
          <a:extLst>
            <a:ext uri="{FF2B5EF4-FFF2-40B4-BE49-F238E27FC236}">
              <a16:creationId xmlns:a16="http://schemas.microsoft.com/office/drawing/2014/main" id="{00000000-0008-0000-0600-000030000000}"/>
            </a:ext>
          </a:extLst>
        </xdr:cNvPr>
        <xdr:cNvSpPr txBox="1">
          <a:spLocks/>
        </xdr:cNvSpPr>
      </xdr:nvSpPr>
      <xdr:spPr>
        <a:xfrm>
          <a:off x="8733672" y="878933"/>
          <a:ext cx="513602"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78C70954-837F-4682-B439-28532A67B0B0}" type="TxLink">
            <a:rPr lang="en-US" sz="1200" b="1" i="0" u="none" strike="noStrike">
              <a:solidFill>
                <a:srgbClr val="000000"/>
              </a:solidFill>
              <a:latin typeface="Arial Narrow"/>
            </a:rPr>
            <a:pPr/>
            <a:t>315407</a:t>
          </a:fld>
          <a:endParaRPr lang="en-US" sz="1200" b="1">
            <a:latin typeface="Arial Narrow" panose="020B0606020202030204" pitchFamily="34" charset="0"/>
          </a:endParaRPr>
        </a:p>
      </xdr:txBody>
    </xdr:sp>
    <xdr:clientData/>
  </xdr:twoCellAnchor>
  <xdr:twoCellAnchor editAs="oneCell">
    <xdr:from>
      <xdr:col>6</xdr:col>
      <xdr:colOff>6786278</xdr:colOff>
      <xdr:row>4</xdr:row>
      <xdr:rowOff>57298</xdr:rowOff>
    </xdr:from>
    <xdr:to>
      <xdr:col>7</xdr:col>
      <xdr:colOff>84834</xdr:colOff>
      <xdr:row>5</xdr:row>
      <xdr:rowOff>59970</xdr:rowOff>
    </xdr:to>
    <xdr:sp macro="" textlink="DATA_INPUT!$C$24">
      <xdr:nvSpPr>
        <xdr:cNvPr id="51" name="TextBox 50">
          <a:extLst>
            <a:ext uri="{FF2B5EF4-FFF2-40B4-BE49-F238E27FC236}">
              <a16:creationId xmlns:a16="http://schemas.microsoft.com/office/drawing/2014/main" id="{00000000-0008-0000-0600-000033000000}"/>
            </a:ext>
          </a:extLst>
        </xdr:cNvPr>
        <xdr:cNvSpPr txBox="1">
          <a:spLocks/>
        </xdr:cNvSpPr>
      </xdr:nvSpPr>
      <xdr:spPr>
        <a:xfrm>
          <a:off x="11093235" y="878933"/>
          <a:ext cx="236069"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5A68B0F-4532-4C16-B09B-C32DD179C51A}" type="TxLink">
            <a:rPr lang="en-US" sz="1200" b="1" i="0" u="none" strike="noStrike">
              <a:solidFill>
                <a:srgbClr val="000000"/>
              </a:solidFill>
              <a:latin typeface="Arial Narrow"/>
            </a:rPr>
            <a:pPr/>
            <a:t>12</a:t>
          </a:fld>
          <a:endParaRPr lang="en-US" sz="1200" b="1">
            <a:latin typeface="Arial Narrow" panose="020B0606020202030204" pitchFamily="34" charset="0"/>
          </a:endParaRPr>
        </a:p>
      </xdr:txBody>
    </xdr:sp>
    <xdr:clientData/>
  </xdr:twoCellAnchor>
  <xdr:twoCellAnchor editAs="oneCell">
    <xdr:from>
      <xdr:col>8</xdr:col>
      <xdr:colOff>322422</xdr:colOff>
      <xdr:row>4</xdr:row>
      <xdr:rowOff>57298</xdr:rowOff>
    </xdr:from>
    <xdr:to>
      <xdr:col>9</xdr:col>
      <xdr:colOff>210726</xdr:colOff>
      <xdr:row>5</xdr:row>
      <xdr:rowOff>59970</xdr:rowOff>
    </xdr:to>
    <xdr:sp macro="" textlink="DATA_INPUT!$C$25">
      <xdr:nvSpPr>
        <xdr:cNvPr id="52" name="TextBox 51">
          <a:extLst>
            <a:ext uri="{FF2B5EF4-FFF2-40B4-BE49-F238E27FC236}">
              <a16:creationId xmlns:a16="http://schemas.microsoft.com/office/drawing/2014/main" id="{00000000-0008-0000-0600-000034000000}"/>
            </a:ext>
          </a:extLst>
        </xdr:cNvPr>
        <xdr:cNvSpPr txBox="1">
          <a:spLocks/>
        </xdr:cNvSpPr>
      </xdr:nvSpPr>
      <xdr:spPr>
        <a:xfrm>
          <a:off x="12375274" y="878933"/>
          <a:ext cx="696687"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DADB679-579A-4C56-8BED-97F3C9F9F5D4}" type="TxLink">
            <a:rPr lang="en-US" sz="1200" b="1" i="0" u="none" strike="noStrike">
              <a:solidFill>
                <a:srgbClr val="000000"/>
              </a:solidFill>
              <a:latin typeface="Arial Narrow"/>
            </a:rPr>
            <a:pPr/>
            <a:t>2023-2024</a:t>
          </a:fld>
          <a:endParaRPr lang="en-US" sz="1200" b="1">
            <a:latin typeface="Arial Narrow" panose="020B0606020202030204" pitchFamily="34" charset="0"/>
          </a:endParaRPr>
        </a:p>
      </xdr:txBody>
    </xdr:sp>
    <xdr:clientData/>
  </xdr:twoCellAnchor>
  <xdr:twoCellAnchor editAs="oneCell">
    <xdr:from>
      <xdr:col>10</xdr:col>
      <xdr:colOff>238340</xdr:colOff>
      <xdr:row>4</xdr:row>
      <xdr:rowOff>57298</xdr:rowOff>
    </xdr:from>
    <xdr:to>
      <xdr:col>10</xdr:col>
      <xdr:colOff>562147</xdr:colOff>
      <xdr:row>5</xdr:row>
      <xdr:rowOff>59970</xdr:rowOff>
    </xdr:to>
    <xdr:sp macro="" textlink="">
      <xdr:nvSpPr>
        <xdr:cNvPr id="53" name="TextBox 52">
          <a:extLst>
            <a:ext uri="{FF2B5EF4-FFF2-40B4-BE49-F238E27FC236}">
              <a16:creationId xmlns:a16="http://schemas.microsoft.com/office/drawing/2014/main" id="{00000000-0008-0000-0600-000035000000}"/>
            </a:ext>
          </a:extLst>
        </xdr:cNvPr>
        <xdr:cNvSpPr txBox="1">
          <a:spLocks/>
        </xdr:cNvSpPr>
      </xdr:nvSpPr>
      <xdr:spPr>
        <a:xfrm>
          <a:off x="14119992" y="878933"/>
          <a:ext cx="323807"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r>
            <a:rPr lang="en-US" sz="1200" b="1">
              <a:latin typeface="Arial Narrow" panose="020B0606020202030204" pitchFamily="34" charset="0"/>
            </a:rPr>
            <a:t>1ST</a:t>
          </a:r>
        </a:p>
      </xdr:txBody>
    </xdr:sp>
    <xdr:clientData/>
  </xdr:twoCellAnchor>
  <xdr:twoCellAnchor editAs="oneCell">
    <xdr:from>
      <xdr:col>5</xdr:col>
      <xdr:colOff>1058145</xdr:colOff>
      <xdr:row>5</xdr:row>
      <xdr:rowOff>97000</xdr:rowOff>
    </xdr:from>
    <xdr:to>
      <xdr:col>6</xdr:col>
      <xdr:colOff>5835885</xdr:colOff>
      <xdr:row>6</xdr:row>
      <xdr:rowOff>110586</xdr:rowOff>
    </xdr:to>
    <xdr:sp macro="" textlink="DATA_INPUT!$C$26">
      <xdr:nvSpPr>
        <xdr:cNvPr id="54" name="TextBox 53">
          <a:extLst>
            <a:ext uri="{FF2B5EF4-FFF2-40B4-BE49-F238E27FC236}">
              <a16:creationId xmlns:a16="http://schemas.microsoft.com/office/drawing/2014/main" id="{00000000-0008-0000-0600-000036000000}"/>
            </a:ext>
          </a:extLst>
        </xdr:cNvPr>
        <xdr:cNvSpPr txBox="1">
          <a:spLocks/>
        </xdr:cNvSpPr>
      </xdr:nvSpPr>
      <xdr:spPr>
        <a:xfrm>
          <a:off x="3834475" y="1084287"/>
          <a:ext cx="6308367" cy="179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2A09E35-0928-4983-AF30-8756A1795A96}" type="TxLink">
            <a:rPr lang="en-US" sz="1200" b="1" i="0" u="none" strike="noStrike">
              <a:solidFill>
                <a:srgbClr val="000000"/>
              </a:solidFill>
              <a:latin typeface="Arial Narrow"/>
            </a:rPr>
            <a:pPr/>
            <a:t>TECHNICAL-VOCATIONAL-LIVELIHOOD TRACK  - AUTOMOTIVE SERVICING</a:t>
          </a:fld>
          <a:endParaRPr lang="en-US" sz="1200" b="1">
            <a:latin typeface="Arial Narrow" panose="020B0606020202030204" pitchFamily="34" charset="0"/>
          </a:endParaRPr>
        </a:p>
      </xdr:txBody>
    </xdr:sp>
    <xdr:clientData/>
  </xdr:twoCellAnchor>
  <xdr:twoCellAnchor editAs="oneCell">
    <xdr:from>
      <xdr:col>6</xdr:col>
      <xdr:colOff>6786296</xdr:colOff>
      <xdr:row>5</xdr:row>
      <xdr:rowOff>97000</xdr:rowOff>
    </xdr:from>
    <xdr:to>
      <xdr:col>10</xdr:col>
      <xdr:colOff>685565</xdr:colOff>
      <xdr:row>6</xdr:row>
      <xdr:rowOff>110586</xdr:rowOff>
    </xdr:to>
    <xdr:sp macro="" textlink="DATA_INPUT!$C$27">
      <xdr:nvSpPr>
        <xdr:cNvPr id="55" name="TextBox 54">
          <a:extLst>
            <a:ext uri="{FF2B5EF4-FFF2-40B4-BE49-F238E27FC236}">
              <a16:creationId xmlns:a16="http://schemas.microsoft.com/office/drawing/2014/main" id="{00000000-0008-0000-0600-000037000000}"/>
            </a:ext>
          </a:extLst>
        </xdr:cNvPr>
        <xdr:cNvSpPr txBox="1">
          <a:spLocks/>
        </xdr:cNvSpPr>
      </xdr:nvSpPr>
      <xdr:spPr>
        <a:xfrm>
          <a:off x="11093253" y="1084287"/>
          <a:ext cx="3473964" cy="179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F61BC7F-1028-46A2-917D-EAF2F4E3B067}" type="TxLink">
            <a:rPr lang="en-US" sz="1200" b="1" i="0" u="none" strike="noStrike">
              <a:solidFill>
                <a:srgbClr val="000000"/>
              </a:solidFill>
              <a:latin typeface="Arial Narrow"/>
            </a:rPr>
            <a:pPr/>
            <a:t>AUTOMOTIVE</a:t>
          </a:fld>
          <a:endParaRPr lang="en-US" sz="1200" b="1">
            <a:latin typeface="Arial Narrow" panose="020B0606020202030204" pitchFamily="34" charset="0"/>
          </a:endParaRPr>
        </a:p>
      </xdr:txBody>
    </xdr:sp>
    <xdr:clientData/>
  </xdr:twoCellAnchor>
  <xdr:twoCellAnchor editAs="oneCell">
    <xdr:from>
      <xdr:col>5</xdr:col>
      <xdr:colOff>13254</xdr:colOff>
      <xdr:row>23</xdr:row>
      <xdr:rowOff>92763</xdr:rowOff>
    </xdr:from>
    <xdr:to>
      <xdr:col>6</xdr:col>
      <xdr:colOff>2164432</xdr:colOff>
      <xdr:row>24</xdr:row>
      <xdr:rowOff>110373</xdr:rowOff>
    </xdr:to>
    <xdr:sp macro="" textlink="DATA_INPUT!$C$28">
      <xdr:nvSpPr>
        <xdr:cNvPr id="57" name="TextBox 56">
          <a:extLst>
            <a:ext uri="{FF2B5EF4-FFF2-40B4-BE49-F238E27FC236}">
              <a16:creationId xmlns:a16="http://schemas.microsoft.com/office/drawing/2014/main" id="{00000000-0008-0000-0600-000039000000}"/>
            </a:ext>
          </a:extLst>
        </xdr:cNvPr>
        <xdr:cNvSpPr txBox="1">
          <a:spLocks/>
        </xdr:cNvSpPr>
      </xdr:nvSpPr>
      <xdr:spPr>
        <a:xfrm>
          <a:off x="2789584" y="5115337"/>
          <a:ext cx="3681805" cy="203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7BB31522-4D02-4D0F-B59C-70797DF656FC}" type="TxLink">
            <a:rPr lang="en-US" sz="1200" b="1" i="0" u="none" strike="noStrike">
              <a:solidFill>
                <a:srgbClr val="000000"/>
              </a:solidFill>
              <a:latin typeface="Arial Narrow"/>
            </a:rPr>
            <a:pPr lvl="0" algn="ctr"/>
            <a:t>JAMES RHODE E. SALAC</a:t>
          </a:fld>
          <a:endParaRPr lang="en-US" sz="1200" b="1">
            <a:latin typeface="Arial Narrow" panose="020B0606020202030204" pitchFamily="34" charset="0"/>
          </a:endParaRPr>
        </a:p>
      </xdr:txBody>
    </xdr:sp>
    <xdr:clientData/>
  </xdr:twoCellAnchor>
  <xdr:twoCellAnchor editAs="oneCell">
    <xdr:from>
      <xdr:col>6</xdr:col>
      <xdr:colOff>3033112</xdr:colOff>
      <xdr:row>23</xdr:row>
      <xdr:rowOff>92763</xdr:rowOff>
    </xdr:from>
    <xdr:to>
      <xdr:col>7</xdr:col>
      <xdr:colOff>39621</xdr:colOff>
      <xdr:row>24</xdr:row>
      <xdr:rowOff>110373</xdr:rowOff>
    </xdr:to>
    <xdr:sp macro="" textlink="DATA_INPUT!$C$29">
      <xdr:nvSpPr>
        <xdr:cNvPr id="58" name="TextBox 57">
          <a:extLst>
            <a:ext uri="{FF2B5EF4-FFF2-40B4-BE49-F238E27FC236}">
              <a16:creationId xmlns:a16="http://schemas.microsoft.com/office/drawing/2014/main" id="{00000000-0008-0000-0600-00003A000000}"/>
            </a:ext>
          </a:extLst>
        </xdr:cNvPr>
        <xdr:cNvSpPr txBox="1">
          <a:spLocks/>
        </xdr:cNvSpPr>
      </xdr:nvSpPr>
      <xdr:spPr>
        <a:xfrm>
          <a:off x="7340069" y="5115337"/>
          <a:ext cx="3944022" cy="203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A9EBD0E1-0204-4D37-BFC6-C0077A51E8AF}" type="TxLink">
            <a:rPr lang="en-US" sz="1200" b="1" i="0" u="none" strike="noStrike">
              <a:solidFill>
                <a:srgbClr val="000000"/>
              </a:solidFill>
              <a:latin typeface="Arial Narrow"/>
            </a:rPr>
            <a:pPr lvl="0" algn="ctr"/>
            <a:t>JUAN DELA CRUZ</a:t>
          </a:fld>
          <a:endParaRPr lang="en-US" sz="1200" b="1">
            <a:latin typeface="Arial Narrow" panose="020B0606020202030204" pitchFamily="34" charset="0"/>
          </a:endParaRPr>
        </a:p>
      </xdr:txBody>
    </xdr:sp>
    <xdr:clientData/>
  </xdr:twoCellAnchor>
  <xdr:twoCellAnchor editAs="oneCell">
    <xdr:from>
      <xdr:col>1</xdr:col>
      <xdr:colOff>17926</xdr:colOff>
      <xdr:row>4</xdr:row>
      <xdr:rowOff>0</xdr:rowOff>
    </xdr:from>
    <xdr:to>
      <xdr:col>3</xdr:col>
      <xdr:colOff>53788</xdr:colOff>
      <xdr:row>22</xdr:row>
      <xdr:rowOff>143427</xdr:rowOff>
    </xdr:to>
    <mc:AlternateContent xmlns:mc="http://schemas.openxmlformats.org/markup-compatibility/2006" xmlns:a14="http://schemas.microsoft.com/office/drawing/2010/main">
      <mc:Choice Requires="a14">
        <xdr:graphicFrame macro="">
          <xdr:nvGraphicFramePr>
            <xdr:cNvPr id="3" name="Student Name 6">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Student Name 6"/>
            </a:graphicData>
          </a:graphic>
        </xdr:graphicFrame>
      </mc:Choice>
      <mc:Fallback xmlns="">
        <xdr:sp macro="" textlink="">
          <xdr:nvSpPr>
            <xdr:cNvPr id="0" name=""/>
            <xdr:cNvSpPr>
              <a:spLocks noTextEdit="1"/>
            </xdr:cNvSpPr>
          </xdr:nvSpPr>
          <xdr:spPr>
            <a:xfrm>
              <a:off x="98608" y="824753"/>
              <a:ext cx="2545980" cy="4392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699246</xdr:colOff>
      <xdr:row>37</xdr:row>
      <xdr:rowOff>170329</xdr:rowOff>
    </xdr:from>
    <xdr:to>
      <xdr:col>6</xdr:col>
      <xdr:colOff>1608166</xdr:colOff>
      <xdr:row>38</xdr:row>
      <xdr:rowOff>164036</xdr:rowOff>
    </xdr:to>
    <xdr:sp macro="" textlink="DATA_INPUT!$C$22">
      <xdr:nvSpPr>
        <xdr:cNvPr id="4" name="TextBox 3">
          <a:extLst>
            <a:ext uri="{FF2B5EF4-FFF2-40B4-BE49-F238E27FC236}">
              <a16:creationId xmlns:a16="http://schemas.microsoft.com/office/drawing/2014/main" id="{00000000-0008-0000-0600-000004000000}"/>
            </a:ext>
          </a:extLst>
        </xdr:cNvPr>
        <xdr:cNvSpPr txBox="1">
          <a:spLocks/>
        </xdr:cNvSpPr>
      </xdr:nvSpPr>
      <xdr:spPr>
        <a:xfrm>
          <a:off x="3496234" y="8399929"/>
          <a:ext cx="244188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C6BE0A4-92DD-4104-82CF-9D61E740331A}" type="TxLink">
            <a:rPr lang="en-US" sz="1200" b="1" i="0" u="none" strike="noStrike">
              <a:solidFill>
                <a:srgbClr val="000000"/>
              </a:solidFill>
              <a:latin typeface="Arial Narrow"/>
            </a:rPr>
            <a:pPr/>
            <a:t>EAST GUSA NATIONAL HIGH SCHOOL</a:t>
          </a:fld>
          <a:endParaRPr lang="en-US" sz="1200" b="1">
            <a:latin typeface="Arial Narrow" panose="020B0606020202030204" pitchFamily="34" charset="0"/>
          </a:endParaRPr>
        </a:p>
      </xdr:txBody>
    </xdr:sp>
    <xdr:clientData/>
  </xdr:twoCellAnchor>
  <xdr:twoCellAnchor editAs="oneCell">
    <xdr:from>
      <xdr:col>6</xdr:col>
      <xdr:colOff>4435677</xdr:colOff>
      <xdr:row>37</xdr:row>
      <xdr:rowOff>170329</xdr:rowOff>
    </xdr:from>
    <xdr:to>
      <xdr:col>6</xdr:col>
      <xdr:colOff>4949279</xdr:colOff>
      <xdr:row>38</xdr:row>
      <xdr:rowOff>164036</xdr:rowOff>
    </xdr:to>
    <xdr:sp macro="" textlink="DATA_INPUT!$C$23">
      <xdr:nvSpPr>
        <xdr:cNvPr id="5" name="TextBox 4">
          <a:extLst>
            <a:ext uri="{FF2B5EF4-FFF2-40B4-BE49-F238E27FC236}">
              <a16:creationId xmlns:a16="http://schemas.microsoft.com/office/drawing/2014/main" id="{00000000-0008-0000-0600-000005000000}"/>
            </a:ext>
          </a:extLst>
        </xdr:cNvPr>
        <xdr:cNvSpPr txBox="1">
          <a:spLocks/>
        </xdr:cNvSpPr>
      </xdr:nvSpPr>
      <xdr:spPr>
        <a:xfrm>
          <a:off x="8765630" y="8399929"/>
          <a:ext cx="513602"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78C70954-837F-4682-B439-28532A67B0B0}" type="TxLink">
            <a:rPr lang="en-US" sz="1200" b="1" i="0" u="none" strike="noStrike">
              <a:solidFill>
                <a:srgbClr val="000000"/>
              </a:solidFill>
              <a:latin typeface="Arial Narrow"/>
            </a:rPr>
            <a:pPr/>
            <a:t>315407</a:t>
          </a:fld>
          <a:endParaRPr lang="en-US" sz="1200" b="1">
            <a:latin typeface="Arial Narrow" panose="020B0606020202030204" pitchFamily="34" charset="0"/>
          </a:endParaRPr>
        </a:p>
      </xdr:txBody>
    </xdr:sp>
    <xdr:clientData/>
  </xdr:twoCellAnchor>
  <xdr:twoCellAnchor editAs="oneCell">
    <xdr:from>
      <xdr:col>6</xdr:col>
      <xdr:colOff>6795240</xdr:colOff>
      <xdr:row>37</xdr:row>
      <xdr:rowOff>170329</xdr:rowOff>
    </xdr:from>
    <xdr:to>
      <xdr:col>7</xdr:col>
      <xdr:colOff>93796</xdr:colOff>
      <xdr:row>38</xdr:row>
      <xdr:rowOff>164036</xdr:rowOff>
    </xdr:to>
    <xdr:sp macro="" textlink="DATA_INPUT!$C$24">
      <xdr:nvSpPr>
        <xdr:cNvPr id="6" name="TextBox 5">
          <a:extLst>
            <a:ext uri="{FF2B5EF4-FFF2-40B4-BE49-F238E27FC236}">
              <a16:creationId xmlns:a16="http://schemas.microsoft.com/office/drawing/2014/main" id="{00000000-0008-0000-0600-000006000000}"/>
            </a:ext>
          </a:extLst>
        </xdr:cNvPr>
        <xdr:cNvSpPr txBox="1">
          <a:spLocks/>
        </xdr:cNvSpPr>
      </xdr:nvSpPr>
      <xdr:spPr>
        <a:xfrm>
          <a:off x="11125193" y="8399929"/>
          <a:ext cx="237238"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5A68B0F-4532-4C16-B09B-C32DD179C51A}" type="TxLink">
            <a:rPr lang="en-US" sz="1200" b="1" i="0" u="none" strike="noStrike">
              <a:solidFill>
                <a:srgbClr val="000000"/>
              </a:solidFill>
              <a:latin typeface="Arial Narrow"/>
            </a:rPr>
            <a:pPr/>
            <a:t>12</a:t>
          </a:fld>
          <a:endParaRPr lang="en-US" sz="1200" b="1">
            <a:latin typeface="Arial Narrow" panose="020B0606020202030204" pitchFamily="34" charset="0"/>
          </a:endParaRPr>
        </a:p>
      </xdr:txBody>
    </xdr:sp>
    <xdr:clientData/>
  </xdr:twoCellAnchor>
  <xdr:twoCellAnchor editAs="oneCell">
    <xdr:from>
      <xdr:col>8</xdr:col>
      <xdr:colOff>331384</xdr:colOff>
      <xdr:row>37</xdr:row>
      <xdr:rowOff>170329</xdr:rowOff>
    </xdr:from>
    <xdr:to>
      <xdr:col>9</xdr:col>
      <xdr:colOff>219688</xdr:colOff>
      <xdr:row>38</xdr:row>
      <xdr:rowOff>164036</xdr:rowOff>
    </xdr:to>
    <xdr:sp macro="" textlink="DATA_INPUT!$C$25">
      <xdr:nvSpPr>
        <xdr:cNvPr id="7" name="TextBox 6">
          <a:extLst>
            <a:ext uri="{FF2B5EF4-FFF2-40B4-BE49-F238E27FC236}">
              <a16:creationId xmlns:a16="http://schemas.microsoft.com/office/drawing/2014/main" id="{00000000-0008-0000-0600-000007000000}"/>
            </a:ext>
          </a:extLst>
        </xdr:cNvPr>
        <xdr:cNvSpPr txBox="1">
          <a:spLocks/>
        </xdr:cNvSpPr>
      </xdr:nvSpPr>
      <xdr:spPr>
        <a:xfrm>
          <a:off x="12406843" y="8399929"/>
          <a:ext cx="69512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DADB679-579A-4C56-8BED-97F3C9F9F5D4}" type="TxLink">
            <a:rPr lang="en-US" sz="1200" b="1" i="0" u="none" strike="noStrike">
              <a:solidFill>
                <a:srgbClr val="000000"/>
              </a:solidFill>
              <a:latin typeface="Arial Narrow"/>
            </a:rPr>
            <a:pPr/>
            <a:t>2023-2024</a:t>
          </a:fld>
          <a:endParaRPr lang="en-US" sz="1200" b="1">
            <a:latin typeface="Arial Narrow" panose="020B0606020202030204" pitchFamily="34" charset="0"/>
          </a:endParaRPr>
        </a:p>
      </xdr:txBody>
    </xdr:sp>
    <xdr:clientData/>
  </xdr:twoCellAnchor>
  <xdr:twoCellAnchor editAs="oneCell">
    <xdr:from>
      <xdr:col>10</xdr:col>
      <xdr:colOff>247302</xdr:colOff>
      <xdr:row>37</xdr:row>
      <xdr:rowOff>170329</xdr:rowOff>
    </xdr:from>
    <xdr:to>
      <xdr:col>10</xdr:col>
      <xdr:colOff>571109</xdr:colOff>
      <xdr:row>38</xdr:row>
      <xdr:rowOff>164036</xdr:rowOff>
    </xdr:to>
    <xdr:sp macro="" textlink="">
      <xdr:nvSpPr>
        <xdr:cNvPr id="8" name="TextBox 7">
          <a:extLst>
            <a:ext uri="{FF2B5EF4-FFF2-40B4-BE49-F238E27FC236}">
              <a16:creationId xmlns:a16="http://schemas.microsoft.com/office/drawing/2014/main" id="{00000000-0008-0000-0600-000008000000}"/>
            </a:ext>
          </a:extLst>
        </xdr:cNvPr>
        <xdr:cNvSpPr txBox="1">
          <a:spLocks/>
        </xdr:cNvSpPr>
      </xdr:nvSpPr>
      <xdr:spPr>
        <a:xfrm>
          <a:off x="14151561" y="8399929"/>
          <a:ext cx="32380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r>
            <a:rPr lang="en-US" sz="1200" b="1">
              <a:latin typeface="Arial Narrow" panose="020B0606020202030204" pitchFamily="34" charset="0"/>
            </a:rPr>
            <a:t>1ST</a:t>
          </a:r>
        </a:p>
      </xdr:txBody>
    </xdr:sp>
    <xdr:clientData/>
  </xdr:twoCellAnchor>
  <xdr:twoCellAnchor editAs="oneCell">
    <xdr:from>
      <xdr:col>5</xdr:col>
      <xdr:colOff>1067107</xdr:colOff>
      <xdr:row>39</xdr:row>
      <xdr:rowOff>39702</xdr:rowOff>
    </xdr:from>
    <xdr:to>
      <xdr:col>6</xdr:col>
      <xdr:colOff>5844847</xdr:colOff>
      <xdr:row>39</xdr:row>
      <xdr:rowOff>223618</xdr:rowOff>
    </xdr:to>
    <xdr:sp macro="" textlink="DATA_INPUT!$C$26">
      <xdr:nvSpPr>
        <xdr:cNvPr id="9" name="TextBox 8">
          <a:extLst>
            <a:ext uri="{FF2B5EF4-FFF2-40B4-BE49-F238E27FC236}">
              <a16:creationId xmlns:a16="http://schemas.microsoft.com/office/drawing/2014/main" id="{00000000-0008-0000-0600-000009000000}"/>
            </a:ext>
          </a:extLst>
        </xdr:cNvPr>
        <xdr:cNvSpPr txBox="1">
          <a:spLocks/>
        </xdr:cNvSpPr>
      </xdr:nvSpPr>
      <xdr:spPr>
        <a:xfrm>
          <a:off x="3864095" y="8627890"/>
          <a:ext cx="6310705" cy="183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2A09E35-0928-4983-AF30-8756A1795A96}" type="TxLink">
            <a:rPr lang="en-US" sz="1200" b="1" i="0" u="none" strike="noStrike">
              <a:solidFill>
                <a:srgbClr val="000000"/>
              </a:solidFill>
              <a:latin typeface="Arial Narrow"/>
            </a:rPr>
            <a:pPr/>
            <a:t>TECHNICAL-VOCATIONAL-LIVELIHOOD TRACK  - AUTOMOTIVE SERVICING</a:t>
          </a:fld>
          <a:endParaRPr lang="en-US" sz="1200" b="1">
            <a:latin typeface="Arial Narrow" panose="020B0606020202030204" pitchFamily="34" charset="0"/>
          </a:endParaRPr>
        </a:p>
      </xdr:txBody>
    </xdr:sp>
    <xdr:clientData/>
  </xdr:twoCellAnchor>
  <xdr:twoCellAnchor editAs="oneCell">
    <xdr:from>
      <xdr:col>6</xdr:col>
      <xdr:colOff>6795258</xdr:colOff>
      <xdr:row>39</xdr:row>
      <xdr:rowOff>39702</xdr:rowOff>
    </xdr:from>
    <xdr:to>
      <xdr:col>10</xdr:col>
      <xdr:colOff>694527</xdr:colOff>
      <xdr:row>39</xdr:row>
      <xdr:rowOff>223618</xdr:rowOff>
    </xdr:to>
    <xdr:sp macro="" textlink="DATA_INPUT!$C$27">
      <xdr:nvSpPr>
        <xdr:cNvPr id="11" name="TextBox 10">
          <a:extLst>
            <a:ext uri="{FF2B5EF4-FFF2-40B4-BE49-F238E27FC236}">
              <a16:creationId xmlns:a16="http://schemas.microsoft.com/office/drawing/2014/main" id="{00000000-0008-0000-0600-00000B000000}"/>
            </a:ext>
          </a:extLst>
        </xdr:cNvPr>
        <xdr:cNvSpPr txBox="1">
          <a:spLocks/>
        </xdr:cNvSpPr>
      </xdr:nvSpPr>
      <xdr:spPr>
        <a:xfrm>
          <a:off x="11125211" y="8627890"/>
          <a:ext cx="3473575" cy="183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F61BC7F-1028-46A2-917D-EAF2F4E3B067}" type="TxLink">
            <a:rPr lang="en-US" sz="1200" b="1" i="0" u="none" strike="noStrike">
              <a:solidFill>
                <a:srgbClr val="000000"/>
              </a:solidFill>
              <a:latin typeface="Arial Narrow"/>
            </a:rPr>
            <a:pPr/>
            <a:t>AUTOMOTIVE</a:t>
          </a:fld>
          <a:endParaRPr lang="en-US" sz="1200" b="1">
            <a:latin typeface="Arial Narrow" panose="020B0606020202030204" pitchFamily="34" charset="0"/>
          </a:endParaRPr>
        </a:p>
      </xdr:txBody>
    </xdr:sp>
    <xdr:clientData/>
  </xdr:twoCellAnchor>
  <xdr:twoCellAnchor editAs="oneCell">
    <xdr:from>
      <xdr:col>5</xdr:col>
      <xdr:colOff>0</xdr:colOff>
      <xdr:row>55</xdr:row>
      <xdr:rowOff>107578</xdr:rowOff>
    </xdr:from>
    <xdr:to>
      <xdr:col>6</xdr:col>
      <xdr:colOff>2151178</xdr:colOff>
      <xdr:row>56</xdr:row>
      <xdr:rowOff>125188</xdr:rowOff>
    </xdr:to>
    <xdr:sp macro="" textlink="DATA_INPUT!$C$28">
      <xdr:nvSpPr>
        <xdr:cNvPr id="12" name="TextBox 11">
          <a:extLst>
            <a:ext uri="{FF2B5EF4-FFF2-40B4-BE49-F238E27FC236}">
              <a16:creationId xmlns:a16="http://schemas.microsoft.com/office/drawing/2014/main" id="{00000000-0008-0000-0600-00000C000000}"/>
            </a:ext>
          </a:extLst>
        </xdr:cNvPr>
        <xdr:cNvSpPr txBox="1">
          <a:spLocks/>
        </xdr:cNvSpPr>
      </xdr:nvSpPr>
      <xdr:spPr>
        <a:xfrm>
          <a:off x="2796988" y="12595413"/>
          <a:ext cx="3684143" cy="196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7BB31522-4D02-4D0F-B59C-70797DF656FC}" type="TxLink">
            <a:rPr lang="en-US" sz="1200" b="1" i="0" u="none" strike="noStrike">
              <a:solidFill>
                <a:srgbClr val="000000"/>
              </a:solidFill>
              <a:latin typeface="Arial Narrow"/>
            </a:rPr>
            <a:pPr lvl="0" algn="ctr"/>
            <a:t>JAMES RHODE E. SALAC</a:t>
          </a:fld>
          <a:endParaRPr lang="en-US" sz="1200" b="1">
            <a:latin typeface="Arial Narrow" panose="020B0606020202030204" pitchFamily="34" charset="0"/>
          </a:endParaRPr>
        </a:p>
      </xdr:txBody>
    </xdr:sp>
    <xdr:clientData/>
  </xdr:twoCellAnchor>
  <xdr:twoCellAnchor editAs="oneCell">
    <xdr:from>
      <xdr:col>6</xdr:col>
      <xdr:colOff>3019858</xdr:colOff>
      <xdr:row>55</xdr:row>
      <xdr:rowOff>107578</xdr:rowOff>
    </xdr:from>
    <xdr:to>
      <xdr:col>7</xdr:col>
      <xdr:colOff>26367</xdr:colOff>
      <xdr:row>56</xdr:row>
      <xdr:rowOff>125188</xdr:rowOff>
    </xdr:to>
    <xdr:sp macro="" textlink="DATA_INPUT!$C$29">
      <xdr:nvSpPr>
        <xdr:cNvPr id="49" name="TextBox 48">
          <a:extLst>
            <a:ext uri="{FF2B5EF4-FFF2-40B4-BE49-F238E27FC236}">
              <a16:creationId xmlns:a16="http://schemas.microsoft.com/office/drawing/2014/main" id="{00000000-0008-0000-0600-000031000000}"/>
            </a:ext>
          </a:extLst>
        </xdr:cNvPr>
        <xdr:cNvSpPr txBox="1">
          <a:spLocks/>
        </xdr:cNvSpPr>
      </xdr:nvSpPr>
      <xdr:spPr>
        <a:xfrm>
          <a:off x="7349811" y="12595413"/>
          <a:ext cx="3945191" cy="196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A9EBD0E1-0204-4D37-BFC6-C0077A51E8AF}" type="TxLink">
            <a:rPr lang="en-US" sz="1200" b="1" i="0" u="none" strike="noStrike">
              <a:solidFill>
                <a:srgbClr val="000000"/>
              </a:solidFill>
              <a:latin typeface="Arial Narrow"/>
            </a:rPr>
            <a:pPr lvl="0" algn="ctr"/>
            <a:t>JUAN DELA CRUZ</a:t>
          </a:fld>
          <a:endParaRPr lang="en-US" sz="1200" b="1">
            <a:latin typeface="Arial Narrow" panose="020B0606020202030204" pitchFamily="34" charset="0"/>
          </a:endParaRPr>
        </a:p>
      </xdr:txBody>
    </xdr:sp>
    <xdr:clientData/>
  </xdr:twoCellAnchor>
  <xdr:twoCellAnchor>
    <xdr:from>
      <xdr:col>2</xdr:col>
      <xdr:colOff>163323</xdr:colOff>
      <xdr:row>1</xdr:row>
      <xdr:rowOff>0</xdr:rowOff>
    </xdr:from>
    <xdr:to>
      <xdr:col>2</xdr:col>
      <xdr:colOff>527673</xdr:colOff>
      <xdr:row>1</xdr:row>
      <xdr:rowOff>274926</xdr:rowOff>
    </xdr:to>
    <xdr:grpSp>
      <xdr:nvGrpSpPr>
        <xdr:cNvPr id="56" name="Group 55">
          <a:extLst>
            <a:ext uri="{FF2B5EF4-FFF2-40B4-BE49-F238E27FC236}">
              <a16:creationId xmlns:a16="http://schemas.microsoft.com/office/drawing/2014/main" id="{21FED02F-3FA0-437F-BA9A-C35707E14D25}"/>
            </a:ext>
          </a:extLst>
        </xdr:cNvPr>
        <xdr:cNvGrpSpPr/>
      </xdr:nvGrpSpPr>
      <xdr:grpSpPr>
        <a:xfrm>
          <a:off x="943252" y="143435"/>
          <a:ext cx="364350" cy="274926"/>
          <a:chOff x="14943988" y="883469"/>
          <a:chExt cx="339525" cy="274582"/>
        </a:xfrm>
      </xdr:grpSpPr>
      <xdr:sp macro="[0]!refresh_data" textlink="">
        <xdr:nvSpPr>
          <xdr:cNvPr id="59" name="Rectangle 58">
            <a:extLst>
              <a:ext uri="{FF2B5EF4-FFF2-40B4-BE49-F238E27FC236}">
                <a16:creationId xmlns:a16="http://schemas.microsoft.com/office/drawing/2014/main" id="{F8469F87-F9CC-1F7A-41B7-B49B80429EB8}"/>
              </a:ext>
            </a:extLst>
          </xdr:cNvPr>
          <xdr:cNvSpPr/>
        </xdr:nvSpPr>
        <xdr:spPr>
          <a:xfrm>
            <a:off x="14943988" y="883469"/>
            <a:ext cx="339525" cy="27458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data">
        <xdr:nvPicPr>
          <xdr:cNvPr id="60" name="Graphic 59" descr="Repeat outline">
            <a:extLst>
              <a:ext uri="{FF2B5EF4-FFF2-40B4-BE49-F238E27FC236}">
                <a16:creationId xmlns:a16="http://schemas.microsoft.com/office/drawing/2014/main" id="{56304BF9-EB56-7B98-11E1-789E0D23553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004649" y="912435"/>
            <a:ext cx="218203" cy="216650"/>
          </a:xfrm>
          <a:prstGeom prst="rect">
            <a:avLst/>
          </a:prstGeom>
        </xdr:spPr>
      </xdr:pic>
    </xdr:grpSp>
    <xdr:clientData/>
  </xdr:twoCellAnchor>
  <xdr:twoCellAnchor>
    <xdr:from>
      <xdr:col>1</xdr:col>
      <xdr:colOff>38419</xdr:colOff>
      <xdr:row>1</xdr:row>
      <xdr:rowOff>0</xdr:rowOff>
    </xdr:from>
    <xdr:to>
      <xdr:col>1</xdr:col>
      <xdr:colOff>401070</xdr:colOff>
      <xdr:row>1</xdr:row>
      <xdr:rowOff>271628</xdr:rowOff>
    </xdr:to>
    <xdr:grpSp>
      <xdr:nvGrpSpPr>
        <xdr:cNvPr id="61" name="Group 60">
          <a:hlinkClick xmlns:r="http://schemas.openxmlformats.org/officeDocument/2006/relationships" r:id="rId7" tooltip="Go Back to Learner's Information"/>
          <a:extLst>
            <a:ext uri="{FF2B5EF4-FFF2-40B4-BE49-F238E27FC236}">
              <a16:creationId xmlns:a16="http://schemas.microsoft.com/office/drawing/2014/main" id="{73042815-62D0-4D81-AD0C-3295623FFBD5}"/>
            </a:ext>
          </a:extLst>
        </xdr:cNvPr>
        <xdr:cNvGrpSpPr/>
      </xdr:nvGrpSpPr>
      <xdr:grpSpPr>
        <a:xfrm>
          <a:off x="119101" y="143435"/>
          <a:ext cx="362651" cy="271628"/>
          <a:chOff x="13788825" y="843442"/>
          <a:chExt cx="341964" cy="271284"/>
        </a:xfrm>
      </xdr:grpSpPr>
      <xdr:sp macro="" textlink="">
        <xdr:nvSpPr>
          <xdr:cNvPr id="62" name="Rectangle 61">
            <a:extLst>
              <a:ext uri="{FF2B5EF4-FFF2-40B4-BE49-F238E27FC236}">
                <a16:creationId xmlns:a16="http://schemas.microsoft.com/office/drawing/2014/main" id="{E81F412E-7393-21C1-0057-8912224E1A99}"/>
              </a:ext>
            </a:extLst>
          </xdr:cNvPr>
          <xdr:cNvSpPr/>
        </xdr:nvSpPr>
        <xdr:spPr>
          <a:xfrm>
            <a:off x="13788825" y="843442"/>
            <a:ext cx="341964"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3" name="Graphic 62" descr="Back outline">
            <a:extLst>
              <a:ext uri="{FF2B5EF4-FFF2-40B4-BE49-F238E27FC236}">
                <a16:creationId xmlns:a16="http://schemas.microsoft.com/office/drawing/2014/main" id="{E3253AE3-D023-057F-5D05-67352E13EBE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850707" y="864897"/>
            <a:ext cx="218201" cy="216650"/>
          </a:xfrm>
          <a:prstGeom prst="rect">
            <a:avLst/>
          </a:prstGeom>
        </xdr:spPr>
      </xdr:pic>
    </xdr:grpSp>
    <xdr:clientData/>
  </xdr:twoCellAnchor>
  <xdr:twoCellAnchor>
    <xdr:from>
      <xdr:col>1</xdr:col>
      <xdr:colOff>450892</xdr:colOff>
      <xdr:row>1</xdr:row>
      <xdr:rowOff>0</xdr:rowOff>
    </xdr:from>
    <xdr:to>
      <xdr:col>2</xdr:col>
      <xdr:colOff>117639</xdr:colOff>
      <xdr:row>1</xdr:row>
      <xdr:rowOff>271628</xdr:rowOff>
    </xdr:to>
    <xdr:grpSp>
      <xdr:nvGrpSpPr>
        <xdr:cNvPr id="7168" name="Group 7167">
          <a:hlinkClick xmlns:r="http://schemas.openxmlformats.org/officeDocument/2006/relationships" r:id="rId10" tooltip="Not Applicable"/>
          <a:extLst>
            <a:ext uri="{FF2B5EF4-FFF2-40B4-BE49-F238E27FC236}">
              <a16:creationId xmlns:a16="http://schemas.microsoft.com/office/drawing/2014/main" id="{189CA26B-46B5-4623-9ACA-535B426C7C1C}"/>
            </a:ext>
          </a:extLst>
        </xdr:cNvPr>
        <xdr:cNvGrpSpPr/>
      </xdr:nvGrpSpPr>
      <xdr:grpSpPr>
        <a:xfrm>
          <a:off x="531574" y="143435"/>
          <a:ext cx="365994" cy="271628"/>
          <a:chOff x="14282831" y="1456004"/>
          <a:chExt cx="341168" cy="271284"/>
        </a:xfrm>
      </xdr:grpSpPr>
      <xdr:sp macro="" textlink="">
        <xdr:nvSpPr>
          <xdr:cNvPr id="7170" name="Rectangle 7169">
            <a:extLst>
              <a:ext uri="{FF2B5EF4-FFF2-40B4-BE49-F238E27FC236}">
                <a16:creationId xmlns:a16="http://schemas.microsoft.com/office/drawing/2014/main" id="{0D631AAA-FFA4-1617-9235-9D3ACCC65865}"/>
              </a:ext>
            </a:extLst>
          </xdr:cNvPr>
          <xdr:cNvSpPr/>
        </xdr:nvSpPr>
        <xdr:spPr>
          <a:xfrm>
            <a:off x="14282831" y="1456004"/>
            <a:ext cx="341168"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171" name="Graphic 7170" descr="Back outline">
            <a:extLst>
              <a:ext uri="{FF2B5EF4-FFF2-40B4-BE49-F238E27FC236}">
                <a16:creationId xmlns:a16="http://schemas.microsoft.com/office/drawing/2014/main" id="{15072FF3-DA4E-AD17-26B1-2CA78E79DE82}"/>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4347261" y="1477631"/>
            <a:ext cx="212309" cy="216306"/>
          </a:xfrm>
          <a:prstGeom prst="rect">
            <a:avLst/>
          </a:prstGeom>
        </xdr:spPr>
      </xdr:pic>
    </xdr:grpSp>
    <xdr:clientData/>
  </xdr:twoCellAnchor>
  <xdr:twoCellAnchor>
    <xdr:from>
      <xdr:col>10</xdr:col>
      <xdr:colOff>414934</xdr:colOff>
      <xdr:row>1</xdr:row>
      <xdr:rowOff>0</xdr:rowOff>
    </xdr:from>
    <xdr:to>
      <xdr:col>11</xdr:col>
      <xdr:colOff>26895</xdr:colOff>
      <xdr:row>1</xdr:row>
      <xdr:rowOff>268056</xdr:rowOff>
    </xdr:to>
    <xdr:grpSp>
      <xdr:nvGrpSpPr>
        <xdr:cNvPr id="7172" name="Group 7171">
          <a:extLst>
            <a:ext uri="{FF2B5EF4-FFF2-40B4-BE49-F238E27FC236}">
              <a16:creationId xmlns:a16="http://schemas.microsoft.com/office/drawing/2014/main" id="{F6EDE031-BC40-4435-B9D2-925E8958A946}"/>
            </a:ext>
          </a:extLst>
        </xdr:cNvPr>
        <xdr:cNvGrpSpPr/>
      </xdr:nvGrpSpPr>
      <xdr:grpSpPr>
        <a:xfrm>
          <a:off x="14319193" y="143435"/>
          <a:ext cx="364996" cy="268056"/>
          <a:chOff x="13158867" y="1095823"/>
          <a:chExt cx="341964" cy="267712"/>
        </a:xfrm>
      </xdr:grpSpPr>
      <xdr:sp macro="[0]!print_sf10_G12_page" textlink="">
        <xdr:nvSpPr>
          <xdr:cNvPr id="7173" name="Rectangle 7172">
            <a:extLst>
              <a:ext uri="{FF2B5EF4-FFF2-40B4-BE49-F238E27FC236}">
                <a16:creationId xmlns:a16="http://schemas.microsoft.com/office/drawing/2014/main" id="{9E98F670-E850-98C8-87BD-A77B097B2500}"/>
              </a:ext>
            </a:extLst>
          </xdr:cNvPr>
          <xdr:cNvSpPr/>
        </xdr:nvSpPr>
        <xdr:spPr>
          <a:xfrm>
            <a:off x="13158867" y="1095823"/>
            <a:ext cx="341964" cy="26771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int_sf10_G12_page">
        <xdr:nvPicPr>
          <xdr:cNvPr id="7174" name="Graphic 7173" descr="Fax outline">
            <a:extLst>
              <a:ext uri="{FF2B5EF4-FFF2-40B4-BE49-F238E27FC236}">
                <a16:creationId xmlns:a16="http://schemas.microsoft.com/office/drawing/2014/main" id="{5847AFE8-F503-959B-3899-C9010D3FC86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3221756" y="1112966"/>
            <a:ext cx="216187" cy="233427"/>
          </a:xfrm>
          <a:prstGeom prst="rect">
            <a:avLst/>
          </a:prstGeom>
        </xdr:spPr>
      </xdr:pic>
    </xdr:grpSp>
    <xdr:clientData/>
  </xdr:twoCellAnchor>
  <xdr:twoCellAnchor>
    <xdr:from>
      <xdr:col>10</xdr:col>
      <xdr:colOff>2559</xdr:colOff>
      <xdr:row>1</xdr:row>
      <xdr:rowOff>0</xdr:rowOff>
    </xdr:from>
    <xdr:to>
      <xdr:col>10</xdr:col>
      <xdr:colOff>367555</xdr:colOff>
      <xdr:row>1</xdr:row>
      <xdr:rowOff>268056</xdr:rowOff>
    </xdr:to>
    <xdr:grpSp>
      <xdr:nvGrpSpPr>
        <xdr:cNvPr id="7175" name="Group 7174">
          <a:hlinkClick xmlns:r="http://schemas.openxmlformats.org/officeDocument/2006/relationships" r:id="rId10" tooltip="Save a Copy"/>
          <a:extLst>
            <a:ext uri="{FF2B5EF4-FFF2-40B4-BE49-F238E27FC236}">
              <a16:creationId xmlns:a16="http://schemas.microsoft.com/office/drawing/2014/main" id="{1BA3B455-E958-4F6E-B183-2D55A297BCD2}"/>
            </a:ext>
          </a:extLst>
        </xdr:cNvPr>
        <xdr:cNvGrpSpPr/>
      </xdr:nvGrpSpPr>
      <xdr:grpSpPr>
        <a:xfrm>
          <a:off x="13906818" y="143435"/>
          <a:ext cx="364996" cy="268056"/>
          <a:chOff x="13827365" y="995082"/>
          <a:chExt cx="364996" cy="268056"/>
        </a:xfrm>
      </xdr:grpSpPr>
      <xdr:sp macro="" textlink="">
        <xdr:nvSpPr>
          <xdr:cNvPr id="7176" name="Rectangle 7175">
            <a:extLst>
              <a:ext uri="{FF2B5EF4-FFF2-40B4-BE49-F238E27FC236}">
                <a16:creationId xmlns:a16="http://schemas.microsoft.com/office/drawing/2014/main" id="{6E773BEC-6CC3-BFC1-2689-9467D858436E}"/>
              </a:ext>
            </a:extLst>
          </xdr:cNvPr>
          <xdr:cNvSpPr/>
        </xdr:nvSpPr>
        <xdr:spPr>
          <a:xfrm>
            <a:off x="13827365" y="995082"/>
            <a:ext cx="364996" cy="268056"/>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177" name="Graphic 7176" descr="Download outline">
            <a:extLst>
              <a:ext uri="{FF2B5EF4-FFF2-40B4-BE49-F238E27FC236}">
                <a16:creationId xmlns:a16="http://schemas.microsoft.com/office/drawing/2014/main" id="{7865DDC1-0059-074C-28D0-81B21FAD56F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881847" y="1001094"/>
            <a:ext cx="256032" cy="256032"/>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James Rhode Salac" id="{49F8383B-9F82-402C-B102-4A7C07E74356}" userId="25b4fd0cbf8ab1b8"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Windows User" refreshedDate="45948.494081481484" createdVersion="8" refreshedVersion="8" minRefreshableVersion="3" recordCount="96" xr:uid="{8A9FDA12-A56F-4522-B7AF-1382B489D914}">
  <cacheSource type="worksheet">
    <worksheetSource name="tbl_learners_info"/>
  </cacheSource>
  <cacheFields count="71">
    <cacheField name="LRN" numFmtId="0">
      <sharedItems containsString="0" containsBlank="1" containsNumber="1" containsInteger="1" minValue="125449080028" maxValue="131901110005"/>
    </cacheField>
    <cacheField name="Last Name" numFmtId="0">
      <sharedItems containsBlank="1"/>
    </cacheField>
    <cacheField name="First Name" numFmtId="0">
      <sharedItems containsBlank="1"/>
    </cacheField>
    <cacheField name="Middle Name" numFmtId="0">
      <sharedItems containsBlank="1"/>
    </cacheField>
    <cacheField name="Name Extension_x000a_(JR.,SR,. etc)" numFmtId="0">
      <sharedItems containsBlank="1"/>
    </cacheField>
    <cacheField name="Sex" numFmtId="0">
      <sharedItems containsBlank="1"/>
    </cacheField>
    <cacheField name="Date of Birth" numFmtId="165">
      <sharedItems containsNonDate="0" containsDate="1" containsString="0" containsBlank="1" minDate="2000-02-29T00:00:00" maxDate="2006-10-05T00:00:00"/>
    </cacheField>
    <cacheField name="Date of SHS Admission" numFmtId="0">
      <sharedItems containsNonDate="0" containsDate="1" containsString="0" containsBlank="1" minDate="2023-08-30T00:00:00" maxDate="2023-08-31T00:00:00"/>
    </cacheField>
    <cacheField name="Eiligibility for Enrollment" numFmtId="0">
      <sharedItems containsBlank="1"/>
    </cacheField>
    <cacheField name="Gen. Ave / Rating" numFmtId="2">
      <sharedItems containsString="0" containsBlank="1" containsNumber="1" minValue="77" maxValue="90.38"/>
    </cacheField>
    <cacheField name="Date of Graduation /_x000a_Completion/Examination" numFmtId="165">
      <sharedItems containsNonDate="0" containsDate="1" containsString="0" containsBlank="1" minDate="2020-06-29T00:00:00" maxDate="2022-07-01T00:00:00"/>
    </cacheField>
    <cacheField name="Name of Previous School" numFmtId="0">
      <sharedItems containsBlank="1"/>
    </cacheField>
    <cacheField name="School Address" numFmtId="0">
      <sharedItems containsBlank="1"/>
    </cacheField>
    <cacheField name="Student Name" numFmtId="0">
      <sharedItems count="85">
        <s v="AFFLECK, BEN J."/>
        <s v="BALE, CHRISTIAN C."/>
        <s v="CAVILL, HENRY W."/>
        <s v="DAMON, MATT JR. F."/>
        <s v="DICAPRIO, LEONARDO W."/>
        <s v="EFRON, ZAC D."/>
        <s v="ELGORT, ANSEL JR. J."/>
        <s v="EVANS, CHRIS R."/>
        <s v="GARFIELD, ANDREW R."/>
        <s v="GOSLING, RYAN C."/>
        <s v="HARDY, TOM P."/>
        <s v="HEMSWORTH, CHRIS A."/>
        <s v="HIDDLESTON, TOM E."/>
        <s v="HOLLAND, TOM S."/>
        <s v="JACKMAN, HUGH M."/>
        <s v="LAST NAME, FIRST NAME M."/>
        <s v="PATTINSON, ROBERT D."/>
        <s v="PINE, CHRIS M."/>
        <s v="PRATT, CHRIS A."/>
        <s v="RADCLIFFE, DANIEL J."/>
        <s v="REYNOLDS, RYAN T."/>
        <s v="TATUM, CHANNING M."/>
        <s v="BLAKE, ANNE M."/>
        <s v="GADOT, GAL R."/>
        <s v="JOHANSSON, SCARLETT M."/>
        <s v="LARSON, BRIE A."/>
        <s v="LAWRENCE, JENNIFER K."/>
        <s v="ROBBIE, MARGOT E."/>
        <s v="STONE, EMMA L."/>
        <s v=""/>
        <s v="BAJA, JUSTIN KIRK A." u="1"/>
        <s v="BATUTAY, FRANCE BENEDICT S." u="1"/>
        <s v="BAYER, ARIEL Y." u="1"/>
        <s v="BUHIA, HERMINIGILDO JR. F." u="1"/>
        <s v="BULATETE, ANGELO L." u="1"/>
        <s v="BULLEFER, LATRELL P." u="1"/>
        <s v="CAGAPE, RUBEN JR. B." u="1"/>
        <s v="CAPAO, RONALD B." u="1"/>
        <s v="CEBALLOS, JHON ANGELO P." u="1"/>
        <s v="DOMICILLO, JAY ANTHONY M." u="1"/>
        <s v="ESPINOSA, EARL S." u="1"/>
        <s v="GAJOSTA, RONEL P." u="1"/>
        <s v="GANZAN, NEIL PHILIP A." u="1"/>
        <s v="GUANZON, MARX GIFT J." u="1"/>
        <s v="GUTIERREZ, AREL D." u="1"/>
        <s v="HORILLO, JOEY C." u="1"/>
        <s v="JACALAN, KEITH O." u="1"/>
        <s v="LABTAN, JEMELAN ." u="1"/>
        <s v="LINTERIA, FRANCES P." u="1"/>
        <s v="MAGSAYO, ERWIN JESS J." u="1"/>
        <s v="PAGADUAN, VINCE JASPHER R." u="1"/>
        <s v="QUINTO, JOSH Q." u="1"/>
        <s v="RAMOS, PETE JOSHUA E." u="1"/>
        <s v="RAZON, RICHARD JR. T." u="1"/>
        <s v="SALVO, MARLO A." u="1"/>
        <s v="SAN-UGAN, MICHEAL P." u="1"/>
        <s v="TAMPIL, CHRISTIAN DAVE ." u="1"/>
        <s v="CAMACHO, JUDY ANN O." u="1"/>
        <s v="CASTILLO, MARY FAITH F." u="1"/>
        <s v="BALE, CHRISTIAN CHARLES P." u="1"/>
        <s v="CRUISE, THOMAS ." u="1"/>
        <s v="DAMON, MATTHEW P." u="1"/>
        <s v="DOWNEY, ROBERT JR. J." u="1"/>
        <s v="GOSLING, RYAN T." u="1"/>
        <s v="HARDY, EDWARD THOMAS ." u="1"/>
        <s v="HEMSWORTH, CHRISTOPHER ." u="1"/>
        <s v="JOHNSON, DWAYNE D." u="1"/>
        <s v="PITT, WILLIAM BRADLEY ." u="1"/>
        <s v="SMITH, WILLARD C." u="1"/>
        <s v="CRUZ, PENÉLOPE S." u="1"/>
        <s v="DAVIS, VIOLA ." u="1"/>
        <s v="JOHANSSON, SCARLETT I." u="1"/>
        <s v="JOLIE, ANGELINA V." u="1"/>
        <s v="LAWRENCE, JENNIFER S." u="1"/>
        <s v="PORTMAN, NATALIE H." u="1"/>
        <s v="STONE, EMILY J." u="1"/>
        <s v="WATSON, EMMA CHARLOTTE D." u="1"/>
        <s v="SALAC, EDWIN JR. M." u="1"/>
        <s v="MONKEY, LUFFY D." u="1"/>
        <s v="TRUMP, MELANIE ." u="1"/>
        <s v="SALAC, JAMES RHODE E." u="1"/>
        <s v="JAMES, LEBRON JR. ." u="1"/>
        <s v="BUHIA, HERMINIGILDO F." u="1"/>
        <s v="CAGAPE, RUBEN B." u="1"/>
        <s v=", " u="1"/>
      </sharedItems>
    </cacheField>
    <cacheField name="Full Name (Spelled Out)" numFmtId="0">
      <sharedItems/>
    </cacheField>
    <cacheField name="Age" numFmtId="0">
      <sharedItems containsMixedTypes="1" containsNumber="1" containsInteger="1" minValue="19" maxValue="25"/>
    </cacheField>
    <cacheField name="Transferee" numFmtId="0">
      <sharedItems/>
    </cacheField>
    <cacheField name="Last Name, First Name, Middle Initial " numFmtId="0">
      <sharedItems/>
    </cacheField>
    <cacheField name="10" numFmtId="0">
      <sharedItems containsString="0" containsBlank="1" containsNumber="1" containsInteger="1" minValue="75" maxValue="90"/>
    </cacheField>
    <cacheField name="20" numFmtId="0">
      <sharedItems containsString="0" containsBlank="1" containsNumber="1" containsInteger="1" minValue="75" maxValue="94"/>
    </cacheField>
    <cacheField name="11" numFmtId="0">
      <sharedItems containsString="0" containsBlank="1" containsNumber="1" containsInteger="1" minValue="75" maxValue="91"/>
    </cacheField>
    <cacheField name="21" numFmtId="0">
      <sharedItems containsString="0" containsBlank="1" containsNumber="1" containsInteger="1" minValue="73" maxValue="92"/>
    </cacheField>
    <cacheField name="12" numFmtId="0">
      <sharedItems containsString="0" containsBlank="1" containsNumber="1" containsInteger="1" minValue="75" maxValue="92"/>
    </cacheField>
    <cacheField name="22" numFmtId="0">
      <sharedItems containsString="0" containsBlank="1" containsNumber="1" containsInteger="1" minValue="75" maxValue="88"/>
    </cacheField>
    <cacheField name="13" numFmtId="0">
      <sharedItems containsString="0" containsBlank="1" containsNumber="1" containsInteger="1" minValue="75" maxValue="95"/>
    </cacheField>
    <cacheField name="23" numFmtId="0">
      <sharedItems containsString="0" containsBlank="1" containsNumber="1" containsInteger="1" minValue="75" maxValue="95"/>
    </cacheField>
    <cacheField name="14" numFmtId="0">
      <sharedItems containsString="0" containsBlank="1" containsNumber="1" containsInteger="1" minValue="70" maxValue="93"/>
    </cacheField>
    <cacheField name="24" numFmtId="0">
      <sharedItems containsString="0" containsBlank="1" containsNumber="1" containsInteger="1" minValue="73" maxValue="99"/>
    </cacheField>
    <cacheField name="15" numFmtId="0">
      <sharedItems containsString="0" containsBlank="1" containsNumber="1" containsInteger="1" minValue="81" maxValue="95"/>
    </cacheField>
    <cacheField name="25" numFmtId="0">
      <sharedItems containsString="0" containsBlank="1" containsNumber="1" containsInteger="1" minValue="82" maxValue="97"/>
    </cacheField>
    <cacheField name="16" numFmtId="0">
      <sharedItems containsNonDate="0" containsString="0" containsBlank="1"/>
    </cacheField>
    <cacheField name="26" numFmtId="0">
      <sharedItems containsNonDate="0" containsString="0" containsBlank="1"/>
    </cacheField>
    <cacheField name="17" numFmtId="0">
      <sharedItems containsNonDate="0" containsString="0" containsBlank="1"/>
    </cacheField>
    <cacheField name="27" numFmtId="0">
      <sharedItems containsNonDate="0" containsString="0" containsBlank="1"/>
    </cacheField>
    <cacheField name="18" numFmtId="0">
      <sharedItems containsNonDate="0" containsString="0" containsBlank="1"/>
    </cacheField>
    <cacheField name="28" numFmtId="0">
      <sharedItems containsNonDate="0" containsString="0" containsBlank="1"/>
    </cacheField>
    <cacheField name="19" numFmtId="0">
      <sharedItems containsNonDate="0" containsString="0" containsBlank="1"/>
    </cacheField>
    <cacheField name="29" numFmtId="0">
      <sharedItems containsNonDate="0" containsString="0" containsBlank="1"/>
    </cacheField>
    <cacheField name="Last Name, First Name, Middle Initial2" numFmtId="0">
      <sharedItems/>
    </cacheField>
    <cacheField name="3a" numFmtId="0">
      <sharedItems containsString="0" containsBlank="1" containsNumber="1" containsInteger="1" minValue="80" maxValue="93"/>
    </cacheField>
    <cacheField name="4a" numFmtId="0">
      <sharedItems containsString="0" containsBlank="1" containsNumber="1" containsInteger="1" minValue="78" maxValue="95"/>
    </cacheField>
    <cacheField name="3b" numFmtId="0">
      <sharedItems containsString="0" containsBlank="1" containsNumber="1" containsInteger="1" minValue="89" maxValue="95"/>
    </cacheField>
    <cacheField name="4b" numFmtId="0">
      <sharedItems containsString="0" containsBlank="1" containsNumber="1" containsInteger="1" minValue="78" maxValue="96"/>
    </cacheField>
    <cacheField name="3c" numFmtId="0">
      <sharedItems containsString="0" containsBlank="1" containsNumber="1" containsInteger="1" minValue="75" maxValue="90"/>
    </cacheField>
    <cacheField name="4c" numFmtId="0">
      <sharedItems containsString="0" containsBlank="1" containsNumber="1" containsInteger="1" minValue="78" maxValue="96"/>
    </cacheField>
    <cacheField name="3d" numFmtId="0">
      <sharedItems containsString="0" containsBlank="1" containsNumber="1" containsInteger="1" minValue="78" maxValue="93"/>
    </cacheField>
    <cacheField name="4d" numFmtId="0">
      <sharedItems containsString="0" containsBlank="1" containsNumber="1" containsInteger="1" minValue="78" maxValue="96"/>
    </cacheField>
    <cacheField name="3e" numFmtId="0">
      <sharedItems containsString="0" containsBlank="1" containsNumber="1" containsInteger="1" minValue="75" maxValue="92"/>
    </cacheField>
    <cacheField name="4e" numFmtId="0">
      <sharedItems containsString="0" containsBlank="1" containsNumber="1" containsInteger="1" minValue="78" maxValue="96"/>
    </cacheField>
    <cacheField name="3f" numFmtId="0">
      <sharedItems containsString="0" containsBlank="1" containsNumber="1" containsInteger="1" minValue="80" maxValue="92"/>
    </cacheField>
    <cacheField name="4f" numFmtId="0">
      <sharedItems containsString="0" containsBlank="1" containsNumber="1" containsInteger="1" minValue="78" maxValue="93"/>
    </cacheField>
    <cacheField name="3g" numFmtId="0">
      <sharedItems containsString="0" containsBlank="1" containsNumber="1" containsInteger="1" minValue="81" maxValue="90"/>
    </cacheField>
    <cacheField name="4g" numFmtId="0">
      <sharedItems containsString="0" containsBlank="1" containsNumber="1" containsInteger="1" minValue="78" maxValue="95"/>
    </cacheField>
    <cacheField name="3h" numFmtId="0">
      <sharedItems containsNonDate="0" containsString="0" containsBlank="1"/>
    </cacheField>
    <cacheField name="4h" numFmtId="0">
      <sharedItems containsNonDate="0" containsString="0" containsBlank="1"/>
    </cacheField>
    <cacheField name="3i" numFmtId="0">
      <sharedItems containsNonDate="0" containsString="0" containsBlank="1"/>
    </cacheField>
    <cacheField name="4i" numFmtId="0">
      <sharedItems containsNonDate="0" containsString="0" containsBlank="1"/>
    </cacheField>
    <cacheField name="3j" numFmtId="0">
      <sharedItems containsNonDate="0" containsString="0" containsBlank="1"/>
    </cacheField>
    <cacheField name="4j" numFmtId="0">
      <sharedItems containsNonDate="0" containsString="0" containsBlank="1"/>
    </cacheField>
    <cacheField name="Last Name, First Name, Middle Initial22" numFmtId="0">
      <sharedItems/>
    </cacheField>
    <cacheField name="AUG" numFmtId="0">
      <sharedItems containsString="0" containsBlank="1" containsNumber="1" containsInteger="1" minValue="0" maxValue="0"/>
    </cacheField>
    <cacheField name="SEP" numFmtId="0">
      <sharedItems containsString="0" containsBlank="1" containsNumber="1" containsInteger="1" minValue="0" maxValue="0"/>
    </cacheField>
    <cacheField name="OCT" numFmtId="0">
      <sharedItems containsString="0" containsBlank="1" containsNumber="1" containsInteger="1" minValue="0" maxValue="0"/>
    </cacheField>
    <cacheField name="NOV" numFmtId="0">
      <sharedItems containsString="0" containsBlank="1" containsNumber="1" containsInteger="1" minValue="0" maxValue="0"/>
    </cacheField>
    <cacheField name="DEC" numFmtId="0">
      <sharedItems containsString="0" containsBlank="1" containsNumber="1" containsInteger="1" minValue="0" maxValue="5"/>
    </cacheField>
    <cacheField name="JAN" numFmtId="0">
      <sharedItems containsString="0" containsBlank="1" containsNumber="1" containsInteger="1" minValue="0" maxValue="12"/>
    </cacheField>
    <cacheField name="FEB" numFmtId="0">
      <sharedItems containsString="0" containsBlank="1" containsNumber="1" containsInteger="1" minValue="0" maxValue="6"/>
    </cacheField>
    <cacheField name="MAR" numFmtId="0">
      <sharedItems containsString="0" containsBlank="1" containsNumber="1" containsInteger="1" minValue="0" maxValue="4"/>
    </cacheField>
    <cacheField name="APR" numFmtId="0">
      <sharedItems containsString="0" containsBlank="1" containsNumber="1" containsInteger="1" minValue="0" maxValue="0"/>
    </cacheField>
    <cacheField name="MAY" numFmtId="0">
      <sharedItems containsString="0" containsBlank="1" containsNumber="1" containsInteger="1" minValue="0" maxValue="0"/>
    </cacheField>
    <cacheField name="JUN" numFmtId="0">
      <sharedItems containsString="0" containsBlank="1" containsNumber="1" containsInteger="1" minValue="0" maxValue="0"/>
    </cacheField>
  </cacheFields>
  <extLst>
    <ext xmlns:x14="http://schemas.microsoft.com/office/spreadsheetml/2009/9/main" uri="{725AE2AE-9491-48be-B2B4-4EB974FC3084}">
      <x14:pivotCacheDefinition pivotCacheId="5889120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
  <r>
    <n v="125449080028"/>
    <s v="AFFLECK"/>
    <s v="BEN"/>
    <s v="JOSEPH"/>
    <m/>
    <s v="MALE"/>
    <d v="2005-02-28T00:00:00"/>
    <d v="2023-08-30T00:00:00"/>
    <s v="JUNIOR HIGH SCHOOL COMPLETER"/>
    <n v="83"/>
    <d v="2022-06-29T00:00:00"/>
    <s v="EAST GUSA NATIONAL HIGH SCHOOL"/>
    <s v="P-4A, Manga Street, Gusa, Cagayan de Oro City"/>
    <x v="0"/>
    <s v="AFFLECK, BEN JOSEPH"/>
    <n v="20"/>
    <s v="NO"/>
    <s v="AFFLECK, BEN JOSEPH"/>
    <n v="80"/>
    <n v="75"/>
    <n v="76"/>
    <n v="77"/>
    <n v="89"/>
    <n v="85"/>
    <n v="84"/>
    <n v="84"/>
    <n v="84"/>
    <n v="87"/>
    <n v="88"/>
    <n v="89"/>
    <m/>
    <m/>
    <m/>
    <m/>
    <m/>
    <m/>
    <m/>
    <m/>
    <s v="AFFLECK, BEN JOSEPH"/>
    <n v="93"/>
    <n v="93"/>
    <n v="91"/>
    <n v="96"/>
    <n v="83"/>
    <n v="96"/>
    <n v="89"/>
    <n v="96"/>
    <n v="89"/>
    <n v="96"/>
    <n v="86"/>
    <n v="93"/>
    <n v="89"/>
    <n v="95"/>
    <m/>
    <m/>
    <m/>
    <m/>
    <m/>
    <m/>
    <s v="AFFLECK, BEN JOSEPH"/>
    <n v="0"/>
    <n v="0"/>
    <n v="0"/>
    <n v="0"/>
    <n v="0"/>
    <n v="0"/>
    <n v="0"/>
    <n v="0"/>
    <n v="0"/>
    <n v="0"/>
    <n v="0"/>
  </r>
  <r>
    <n v="126317100049"/>
    <s v="BALE"/>
    <s v="CHRISTIAN"/>
    <s v="CHARLES"/>
    <m/>
    <s v="MALE"/>
    <d v="2005-09-22T00:00:00"/>
    <d v="2023-08-30T00:00:00"/>
    <s v="JUNIOR HIGH SCHOOL COMPLETER"/>
    <n v="82"/>
    <d v="2022-06-29T00:00:00"/>
    <s v="EAST GUSA NATIONAL HIGH SCHOOL"/>
    <s v="P-4A, Manga Street, Gusa, Cagayan de Oro City"/>
    <x v="1"/>
    <s v="BALE, CHRISTIAN CHARLES"/>
    <n v="20"/>
    <s v="NO"/>
    <s v="BALE, CHRISTIAN CHARLES"/>
    <n v="80"/>
    <n v="77"/>
    <n v="75"/>
    <n v="76"/>
    <n v="91"/>
    <n v="85"/>
    <n v="78"/>
    <n v="77"/>
    <n v="80"/>
    <n v="92"/>
    <n v="87"/>
    <n v="88"/>
    <m/>
    <m/>
    <m/>
    <m/>
    <m/>
    <m/>
    <m/>
    <m/>
    <s v="BALE, CHRISTIAN CHARLES"/>
    <n v="88"/>
    <n v="89"/>
    <n v="91"/>
    <n v="89"/>
    <n v="77"/>
    <n v="88"/>
    <n v="85"/>
    <n v="89"/>
    <n v="75"/>
    <n v="88"/>
    <n v="81"/>
    <n v="89"/>
    <n v="83"/>
    <n v="89"/>
    <m/>
    <m/>
    <m/>
    <m/>
    <m/>
    <m/>
    <s v="BALE, CHRISTIAN CHARLES"/>
    <n v="0"/>
    <n v="0"/>
    <n v="0"/>
    <n v="0"/>
    <n v="0"/>
    <n v="2"/>
    <n v="5"/>
    <n v="1"/>
    <n v="0"/>
    <n v="0"/>
    <n v="0"/>
  </r>
  <r>
    <n v="127944110374"/>
    <s v="CAVILL"/>
    <s v="HENRY"/>
    <s v="WILLIAM"/>
    <m/>
    <s v="MALE"/>
    <d v="2005-02-21T00:00:00"/>
    <d v="2023-08-30T00:00:00"/>
    <s v="JUNIOR HIGH SCHOOL COMPLETER"/>
    <n v="85"/>
    <d v="2022-06-29T00:00:00"/>
    <s v="EAST GUSA NATIONAL HIGH SCHOOL"/>
    <s v="P-4A, Manga Street, Gusa, Cagayan de Oro City"/>
    <x v="2"/>
    <s v="CAVILL, HENRY WILLIAM"/>
    <n v="20"/>
    <s v="NO"/>
    <s v="CAVILL, HENRY WILLIAM"/>
    <n v="85"/>
    <n v="88"/>
    <n v="82"/>
    <n v="77"/>
    <n v="91"/>
    <n v="86"/>
    <n v="87"/>
    <n v="91"/>
    <n v="84"/>
    <n v="92"/>
    <n v="92"/>
    <n v="93"/>
    <m/>
    <m/>
    <m/>
    <m/>
    <m/>
    <m/>
    <m/>
    <m/>
    <s v="CAVILL, HENRY WILLIAM"/>
    <n v="91"/>
    <n v="91"/>
    <n v="90"/>
    <n v="94"/>
    <n v="80"/>
    <n v="91"/>
    <n v="84"/>
    <n v="93"/>
    <n v="76"/>
    <n v="92"/>
    <n v="86"/>
    <n v="92"/>
    <n v="85"/>
    <n v="92"/>
    <m/>
    <m/>
    <m/>
    <m/>
    <m/>
    <m/>
    <s v="CAVILL, HENRY WILLIAM"/>
    <n v="0"/>
    <n v="0"/>
    <n v="0"/>
    <n v="0"/>
    <n v="0"/>
    <n v="0"/>
    <n v="1"/>
    <n v="1"/>
    <n v="0"/>
    <n v="0"/>
    <n v="0"/>
  </r>
  <r>
    <n v="127944110405"/>
    <s v="DAMON"/>
    <s v="MATT"/>
    <s v="FRANCIS"/>
    <s v="JR."/>
    <s v="MALE"/>
    <d v="2006-01-22T00:00:00"/>
    <d v="2023-08-30T00:00:00"/>
    <s v="JUNIOR HIGH SCHOOL COMPLETER"/>
    <n v="85"/>
    <d v="2022-06-30T00:00:00"/>
    <s v="DON VICENTE ROMUALDEZ NATIONAL HIGH SCHOOL"/>
    <s v="Aguinaldo, Laak, Davao de Oro"/>
    <x v="3"/>
    <s v="DAMON, MATT FRANCIS JR."/>
    <n v="19"/>
    <s v="YES"/>
    <s v="DAMON, MATT FRANCIS JR."/>
    <n v="82"/>
    <n v="78"/>
    <n v="80"/>
    <n v="78"/>
    <n v="91"/>
    <n v="87"/>
    <n v="84"/>
    <n v="83"/>
    <n v="79"/>
    <n v="95"/>
    <n v="88"/>
    <n v="89"/>
    <m/>
    <m/>
    <m/>
    <m/>
    <m/>
    <m/>
    <m/>
    <m/>
    <s v="DAMON, MATT FRANCIS JR."/>
    <n v="92"/>
    <n v="95"/>
    <n v="89"/>
    <n v="93"/>
    <n v="79"/>
    <n v="93"/>
    <n v="86"/>
    <n v="92"/>
    <n v="77"/>
    <n v="92"/>
    <n v="85"/>
    <n v="93"/>
    <n v="85"/>
    <n v="93"/>
    <m/>
    <m/>
    <m/>
    <m/>
    <m/>
    <m/>
    <s v="DAMON, MATT FRANCIS JR."/>
    <n v="0"/>
    <n v="0"/>
    <n v="0"/>
    <n v="0"/>
    <n v="0"/>
    <n v="1"/>
    <n v="0"/>
    <n v="0"/>
    <n v="0"/>
    <n v="0"/>
    <n v="0"/>
  </r>
  <r>
    <n v="127944100402"/>
    <s v="DICAPRIO"/>
    <s v="LEONARDO"/>
    <s v="WILHELM"/>
    <m/>
    <s v="MALE"/>
    <d v="2003-11-22T00:00:00"/>
    <d v="2023-08-30T00:00:00"/>
    <s v="JUNIOR HIGH SCHOOL COMPLETER"/>
    <n v="81"/>
    <d v="2022-06-29T00:00:00"/>
    <s v="EAST GUSA NATIONAL HIGH SCHOOL"/>
    <s v="P-4A, Manga Street, Gusa, Cagayan de Oro City"/>
    <x v="4"/>
    <s v="DICAPRIO, LEONARDO WILHELM"/>
    <n v="21"/>
    <s v="NO"/>
    <s v="DICAPRIO, LEONARDO WILHELM"/>
    <n v="80"/>
    <n v="76"/>
    <n v="76"/>
    <n v="77"/>
    <n v="89"/>
    <n v="86"/>
    <n v="82"/>
    <n v="79"/>
    <n v="85"/>
    <n v="73"/>
    <n v="82"/>
    <n v="85"/>
    <m/>
    <m/>
    <m/>
    <m/>
    <m/>
    <m/>
    <m/>
    <m/>
    <s v="DICAPRIO, LEONARDO WILHELM"/>
    <n v="89"/>
    <n v="92"/>
    <n v="91"/>
    <n v="92"/>
    <n v="78"/>
    <n v="92"/>
    <n v="82"/>
    <n v="90"/>
    <n v="84"/>
    <n v="92"/>
    <n v="85"/>
    <n v="91"/>
    <n v="85"/>
    <n v="92"/>
    <m/>
    <m/>
    <m/>
    <m/>
    <m/>
    <m/>
    <s v="DICAPRIO, LEONARDO WILHELM"/>
    <n v="0"/>
    <n v="0"/>
    <n v="0"/>
    <n v="0"/>
    <n v="0"/>
    <n v="2"/>
    <n v="2"/>
    <n v="1"/>
    <n v="0"/>
    <n v="0"/>
    <n v="0"/>
  </r>
  <r>
    <n v="127944110467"/>
    <s v="EFRON"/>
    <s v="ZAC"/>
    <s v="DAVID"/>
    <m/>
    <s v="MALE"/>
    <d v="2006-06-22T00:00:00"/>
    <d v="2023-08-30T00:00:00"/>
    <s v="JUNIOR HIGH SCHOOL COMPLETER"/>
    <n v="82"/>
    <d v="2022-06-29T00:00:00"/>
    <s v="EAST GUSA NATIONAL HIGH SCHOOL"/>
    <s v="P-4A, Manga Street, Gusa, Cagayan de Oro City"/>
    <x v="5"/>
    <s v="EFRON, ZAC DAVID"/>
    <n v="19"/>
    <s v="NO"/>
    <s v="EFRON, ZAC DAVID"/>
    <n v="84"/>
    <n v="75"/>
    <n v="78"/>
    <n v="77"/>
    <n v="91"/>
    <n v="80"/>
    <n v="81"/>
    <n v="83"/>
    <n v="84"/>
    <n v="92"/>
    <n v="88"/>
    <n v="90"/>
    <m/>
    <m/>
    <m/>
    <m/>
    <m/>
    <m/>
    <m/>
    <m/>
    <s v="EFRON, ZAC DAVID"/>
    <n v="80"/>
    <n v="83"/>
    <n v="91"/>
    <n v="82"/>
    <n v="80"/>
    <n v="80"/>
    <n v="85"/>
    <n v="83"/>
    <n v="77"/>
    <n v="80"/>
    <n v="85"/>
    <n v="81"/>
    <n v="83"/>
    <n v="82"/>
    <m/>
    <m/>
    <m/>
    <m/>
    <m/>
    <m/>
    <s v="EFRON, ZAC DAVID"/>
    <n v="0"/>
    <n v="0"/>
    <n v="0"/>
    <n v="0"/>
    <n v="0"/>
    <n v="0"/>
    <n v="0"/>
    <n v="1"/>
    <n v="0"/>
    <n v="0"/>
    <n v="0"/>
  </r>
  <r>
    <n v="127944070414"/>
    <s v="ELGORT"/>
    <s v="ANSEL"/>
    <s v="JOHN"/>
    <s v="JR."/>
    <s v="MALE"/>
    <d v="2004-06-05T00:00:00"/>
    <d v="2023-08-30T00:00:00"/>
    <s v="JUNIOR HIGH SCHOOL COMPLETER"/>
    <n v="81"/>
    <d v="2022-06-29T00:00:00"/>
    <s v="EAST GUSA NATIONAL HIGH SCHOOL"/>
    <s v="P-4A, Manga Street, Gusa, Cagayan de Oro City"/>
    <x v="6"/>
    <s v="ELGORT, ANSEL JOHN JR."/>
    <n v="21"/>
    <s v="NO"/>
    <s v="ELGORT, ANSEL JOHN JR."/>
    <n v="75"/>
    <n v="75"/>
    <n v="75"/>
    <n v="75"/>
    <n v="91"/>
    <n v="81"/>
    <n v="75"/>
    <n v="75"/>
    <n v="75"/>
    <n v="89"/>
    <n v="86"/>
    <n v="87"/>
    <m/>
    <m/>
    <m/>
    <m/>
    <m/>
    <m/>
    <m/>
    <m/>
    <s v="ELGORT, ANSEL JOHN JR."/>
    <n v="81"/>
    <n v="78"/>
    <n v="90"/>
    <n v="78"/>
    <n v="75"/>
    <n v="78"/>
    <n v="83"/>
    <n v="78"/>
    <n v="75"/>
    <n v="78"/>
    <n v="81"/>
    <n v="78"/>
    <n v="81"/>
    <n v="78"/>
    <m/>
    <m/>
    <m/>
    <m/>
    <m/>
    <m/>
    <s v="ELGORT, ANSEL JOHN JR."/>
    <n v="0"/>
    <n v="0"/>
    <n v="0"/>
    <n v="0"/>
    <n v="1"/>
    <n v="2"/>
    <n v="0"/>
    <n v="3"/>
    <n v="0"/>
    <n v="0"/>
    <n v="0"/>
  </r>
  <r>
    <n v="127944110592"/>
    <s v="EVANS"/>
    <s v="CHRIS"/>
    <s v="ROBERT"/>
    <m/>
    <s v="MALE"/>
    <d v="2006-05-24T00:00:00"/>
    <d v="2023-08-30T00:00:00"/>
    <s v="JUNIOR HIGH SCHOOL COMPLETER"/>
    <n v="82"/>
    <d v="2022-06-29T00:00:00"/>
    <s v="EAST GUSA NATIONAL HIGH SCHOOL"/>
    <s v="P-4A, Manga Street, Gusa, Cagayan de Oro City"/>
    <x v="7"/>
    <s v="EVANS, CHRIS ROBERT"/>
    <n v="19"/>
    <s v="NO"/>
    <s v="EVANS, CHRIS ROBERT"/>
    <n v="75"/>
    <n v="75"/>
    <n v="77"/>
    <n v="73"/>
    <n v="89"/>
    <n v="83"/>
    <n v="78"/>
    <n v="78"/>
    <n v="73"/>
    <n v="82"/>
    <n v="85"/>
    <n v="86"/>
    <m/>
    <m/>
    <m/>
    <m/>
    <m/>
    <m/>
    <m/>
    <m/>
    <s v="EVANS, CHRIS ROBERT"/>
    <n v="81"/>
    <n v="78"/>
    <n v="89"/>
    <n v="78"/>
    <n v="81"/>
    <n v="78"/>
    <n v="81"/>
    <n v="78"/>
    <n v="75"/>
    <n v="78"/>
    <n v="81"/>
    <n v="78"/>
    <n v="81"/>
    <n v="78"/>
    <m/>
    <m/>
    <m/>
    <m/>
    <m/>
    <m/>
    <s v="EVANS, CHRIS ROBERT"/>
    <n v="0"/>
    <n v="0"/>
    <n v="0"/>
    <n v="0"/>
    <n v="4"/>
    <n v="11"/>
    <n v="0"/>
    <n v="0"/>
    <n v="0"/>
    <n v="0"/>
    <n v="0"/>
  </r>
  <r>
    <n v="127944120163"/>
    <s v="GARFIELD"/>
    <s v="ANDREW"/>
    <s v="RUSSELL"/>
    <m/>
    <s v="MALE"/>
    <d v="2006-01-12T00:00:00"/>
    <d v="2023-08-30T00:00:00"/>
    <s v="JUNIOR HIGH SCHOOL COMPLETER"/>
    <n v="83"/>
    <d v="2022-06-29T00:00:00"/>
    <s v="EAST GUSA NATIONAL HIGH SCHOOL"/>
    <s v="P-4A, Manga Street, Gusa, Cagayan de Oro City"/>
    <x v="8"/>
    <s v="GARFIELD, ANDREW RUSSELL"/>
    <n v="19"/>
    <s v="NO"/>
    <s v="GARFIELD, ANDREW RUSSELL"/>
    <n v="81"/>
    <n v="80"/>
    <n v="81"/>
    <n v="82"/>
    <n v="92"/>
    <n v="81"/>
    <n v="88"/>
    <n v="82"/>
    <n v="93"/>
    <n v="90"/>
    <n v="87"/>
    <n v="88"/>
    <m/>
    <m/>
    <m/>
    <m/>
    <m/>
    <m/>
    <m/>
    <m/>
    <s v="GARFIELD, ANDREW RUSSELL"/>
    <n v="80"/>
    <n v="81"/>
    <n v="91"/>
    <n v="81"/>
    <n v="81"/>
    <n v="81"/>
    <n v="87"/>
    <n v="81"/>
    <n v="75"/>
    <n v="82"/>
    <n v="89"/>
    <n v="81"/>
    <n v="84"/>
    <n v="81"/>
    <m/>
    <m/>
    <m/>
    <m/>
    <m/>
    <m/>
    <s v="GARFIELD, ANDREW RUSSELL"/>
    <n v="0"/>
    <n v="0"/>
    <n v="0"/>
    <n v="0"/>
    <n v="0"/>
    <n v="0"/>
    <n v="0"/>
    <n v="1"/>
    <n v="0"/>
    <n v="0"/>
    <n v="0"/>
  </r>
  <r>
    <n v="127946120053"/>
    <s v="GOSLING"/>
    <s v="RYAN"/>
    <s v="CHRISTOPHER"/>
    <m/>
    <s v="MALE"/>
    <d v="2004-10-16T00:00:00"/>
    <d v="2023-08-30T00:00:00"/>
    <s v="JUNIOR HIGH SCHOOL COMPLETER"/>
    <n v="81"/>
    <d v="2022-06-29T00:00:00"/>
    <s v="EAST GUSA NATIONAL HIGH SCHOOL"/>
    <s v="P-4A, Manga Street, Gusa, Cagayan de Oro City"/>
    <x v="9"/>
    <s v="GOSLING, RYAN CHRISTOPHER"/>
    <n v="21"/>
    <s v="NO"/>
    <s v="GOSLING, RYAN CHRISTOPHER"/>
    <n v="80"/>
    <n v="83"/>
    <n v="80"/>
    <n v="77"/>
    <n v="92"/>
    <n v="85"/>
    <n v="83"/>
    <n v="83"/>
    <n v="90"/>
    <n v="97"/>
    <n v="85"/>
    <n v="89"/>
    <m/>
    <m/>
    <m/>
    <m/>
    <m/>
    <m/>
    <m/>
    <m/>
    <s v="GOSLING, RYAN CHRISTOPHER"/>
    <n v="84"/>
    <n v="86"/>
    <n v="89"/>
    <n v="84"/>
    <n v="80"/>
    <n v="87"/>
    <n v="84"/>
    <n v="85"/>
    <n v="75"/>
    <n v="84"/>
    <n v="88"/>
    <n v="87"/>
    <n v="83"/>
    <n v="86"/>
    <m/>
    <m/>
    <m/>
    <m/>
    <m/>
    <m/>
    <s v="GOSLING, RYAN CHRISTOPHER"/>
    <n v="0"/>
    <n v="0"/>
    <n v="0"/>
    <n v="0"/>
    <n v="0"/>
    <n v="0"/>
    <n v="0"/>
    <n v="1"/>
    <n v="0"/>
    <n v="0"/>
    <n v="0"/>
  </r>
  <r>
    <n v="127944100662"/>
    <s v="HARDY"/>
    <s v="TOM"/>
    <s v="PATRICK"/>
    <m/>
    <s v="MALE"/>
    <d v="2006-10-04T00:00:00"/>
    <d v="2023-08-30T00:00:00"/>
    <s v="JUNIOR HIGH SCHOOL COMPLETER"/>
    <n v="82"/>
    <d v="2022-06-29T00:00:00"/>
    <s v="EAST GUSA NATIONAL HIGH SCHOOL"/>
    <s v="P-4A, Manga Street, Gusa, Cagayan de Oro City"/>
    <x v="10"/>
    <s v="HARDY, TOM PATRICK"/>
    <n v="19"/>
    <s v="NO"/>
    <s v="HARDY, TOM PATRICK"/>
    <n v="75"/>
    <n v="75"/>
    <n v="75"/>
    <n v="92"/>
    <n v="75"/>
    <n v="75"/>
    <n v="75"/>
    <n v="75"/>
    <n v="72"/>
    <n v="80"/>
    <n v="86"/>
    <n v="87"/>
    <m/>
    <m/>
    <m/>
    <m/>
    <m/>
    <m/>
    <m/>
    <m/>
    <s v="HARDY, TOM PATRICK"/>
    <n v="80"/>
    <n v="81"/>
    <n v="89"/>
    <n v="82"/>
    <n v="78"/>
    <n v="80"/>
    <n v="83"/>
    <n v="80"/>
    <n v="75"/>
    <n v="80"/>
    <n v="80"/>
    <n v="81"/>
    <n v="81"/>
    <n v="81"/>
    <m/>
    <m/>
    <m/>
    <m/>
    <m/>
    <m/>
    <s v="HARDY, TOM PATRICK"/>
    <n v="0"/>
    <n v="0"/>
    <n v="0"/>
    <n v="0"/>
    <n v="0"/>
    <n v="4"/>
    <n v="0"/>
    <n v="1"/>
    <n v="0"/>
    <n v="0"/>
    <n v="0"/>
  </r>
  <r>
    <n v="127643120004"/>
    <s v="HEMSWORTH"/>
    <s v="CHRIS"/>
    <s v="ANDREW"/>
    <m/>
    <s v="MALE"/>
    <d v="2003-02-21T00:00:00"/>
    <d v="2023-08-30T00:00:00"/>
    <s v="JUNIOR HIGH SCHOOL COMPLETER"/>
    <n v="87"/>
    <d v="2022-06-29T00:00:00"/>
    <s v="EAST GUSA NATIONAL HIGH SCHOOL"/>
    <s v="P-4A, Manga Street, Gusa, Cagayan de Oro City"/>
    <x v="11"/>
    <s v="HEMSWORTH, CHRIS ANDREW"/>
    <n v="22"/>
    <s v="NO"/>
    <s v="HEMSWORTH, CHRIS ANDREW"/>
    <n v="75"/>
    <n v="75"/>
    <n v="75"/>
    <n v="75"/>
    <n v="92"/>
    <n v="81"/>
    <n v="75"/>
    <n v="79"/>
    <n v="70"/>
    <n v="82"/>
    <n v="81"/>
    <n v="83"/>
    <m/>
    <m/>
    <m/>
    <m/>
    <m/>
    <m/>
    <m/>
    <m/>
    <s v="HEMSWORTH, CHRIS ANDREW"/>
    <n v="81"/>
    <n v="78"/>
    <n v="90"/>
    <n v="78"/>
    <n v="81"/>
    <n v="78"/>
    <n v="82"/>
    <n v="78"/>
    <n v="75"/>
    <n v="78"/>
    <n v="81"/>
    <n v="78"/>
    <n v="82"/>
    <n v="78"/>
    <m/>
    <m/>
    <m/>
    <m/>
    <m/>
    <m/>
    <s v="HEMSWORTH, CHRIS ANDREW"/>
    <n v="0"/>
    <n v="0"/>
    <n v="0"/>
    <n v="0"/>
    <n v="4"/>
    <n v="12"/>
    <n v="0"/>
    <n v="0"/>
    <n v="0"/>
    <n v="0"/>
    <n v="0"/>
  </r>
  <r>
    <n v="127944120198"/>
    <s v="HIDDLESTON"/>
    <s v="TOM"/>
    <s v="EDWARD"/>
    <m/>
    <s v="MALE"/>
    <d v="2004-01-29T00:00:00"/>
    <d v="2023-08-30T00:00:00"/>
    <s v="JUNIOR HIGH SCHOOL COMPLETER"/>
    <n v="80"/>
    <d v="2020-06-29T00:00:00"/>
    <s v="EAST GUSA NATIONAL HIGH SCHOOL"/>
    <s v="P-4A, Manga Street, Gusa, Cagayan de Oro City"/>
    <x v="12"/>
    <s v="HIDDLESTON, TOM EDWARD"/>
    <n v="21"/>
    <s v="NO"/>
    <s v="HIDDLESTON, TOM EDWARD"/>
    <n v="84"/>
    <n v="84"/>
    <n v="78"/>
    <n v="79"/>
    <n v="92"/>
    <n v="87"/>
    <n v="75"/>
    <n v="81"/>
    <n v="75"/>
    <n v="92"/>
    <n v="84"/>
    <n v="87"/>
    <m/>
    <m/>
    <m/>
    <m/>
    <m/>
    <m/>
    <m/>
    <m/>
    <s v="HIDDLESTON, TOM EDWARD"/>
    <n v="88"/>
    <n v="89"/>
    <n v="91"/>
    <n v="90"/>
    <n v="85"/>
    <n v="88"/>
    <n v="89"/>
    <n v="90"/>
    <n v="75"/>
    <n v="90"/>
    <n v="85"/>
    <n v="91"/>
    <n v="86"/>
    <n v="90"/>
    <m/>
    <m/>
    <m/>
    <m/>
    <m/>
    <m/>
    <s v="HIDDLESTON, TOM EDWARD"/>
    <n v="0"/>
    <n v="0"/>
    <n v="0"/>
    <n v="0"/>
    <n v="3"/>
    <n v="11"/>
    <n v="5"/>
    <n v="0"/>
    <n v="0"/>
    <n v="0"/>
    <n v="0"/>
  </r>
  <r>
    <n v="127942120965"/>
    <s v="HOLLAND"/>
    <s v="TOM"/>
    <s v="STANLEY"/>
    <m/>
    <s v="MALE"/>
    <d v="2006-07-28T00:00:00"/>
    <d v="2023-08-30T00:00:00"/>
    <s v="ALS A&amp;E PASSER"/>
    <n v="90.38"/>
    <d v="2022-06-29T00:00:00"/>
    <s v="ALS-BCSAT"/>
    <s v="Brgy. Tandang Sora, Butuan City"/>
    <x v="13"/>
    <s v="HOLLAND, TOM STANLEY"/>
    <n v="19"/>
    <s v="YES"/>
    <s v="HOLLAND, TOM STANLEY"/>
    <n v="88"/>
    <n v="93"/>
    <n v="88"/>
    <n v="90"/>
    <n v="91"/>
    <n v="87"/>
    <n v="91"/>
    <n v="87"/>
    <n v="83"/>
    <n v="95"/>
    <n v="91"/>
    <n v="94"/>
    <m/>
    <m/>
    <m/>
    <m/>
    <m/>
    <m/>
    <m/>
    <m/>
    <s v="HOLLAND, TOM STANLEY"/>
    <n v="90"/>
    <n v="93"/>
    <n v="92"/>
    <n v="91"/>
    <n v="88"/>
    <n v="90"/>
    <n v="92"/>
    <n v="91"/>
    <n v="77"/>
    <n v="90"/>
    <n v="91"/>
    <n v="93"/>
    <n v="88"/>
    <n v="91"/>
    <m/>
    <m/>
    <m/>
    <m/>
    <m/>
    <m/>
    <s v="HOLLAND, TOM STANLEY"/>
    <n v="0"/>
    <n v="0"/>
    <n v="0"/>
    <n v="0"/>
    <n v="0"/>
    <n v="0"/>
    <n v="1"/>
    <n v="0"/>
    <n v="0"/>
    <n v="0"/>
    <n v="0"/>
  </r>
  <r>
    <n v="127944121546"/>
    <s v="JACKMAN"/>
    <s v="HUGH"/>
    <s v="MICHAEL"/>
    <m/>
    <s v="MALE"/>
    <d v="2003-04-25T00:00:00"/>
    <d v="2023-08-30T00:00:00"/>
    <s v="JUNIOR HIGH SCHOOL COMPLETER"/>
    <n v="77"/>
    <d v="2022-06-28T00:00:00"/>
    <s v="ANTONIO NATIONAL HIGH SCHOOL"/>
    <s v="Tigbao District, Zamboanga del Sur"/>
    <x v="14"/>
    <s v="JACKMAN, HUGH MICHAEL"/>
    <n v="22"/>
    <s v="YES"/>
    <s v="JACKMAN, HUGH MICHAEL"/>
    <n v="87"/>
    <n v="87"/>
    <n v="81"/>
    <n v="80"/>
    <n v="89"/>
    <n v="87"/>
    <n v="83"/>
    <n v="82"/>
    <n v="85"/>
    <n v="94"/>
    <n v="83"/>
    <n v="87"/>
    <m/>
    <m/>
    <m/>
    <m/>
    <m/>
    <m/>
    <m/>
    <m/>
    <s v="JACKMAN, HUGH MICHAEL"/>
    <n v="80"/>
    <n v="80"/>
    <n v="91"/>
    <n v="80"/>
    <n v="83"/>
    <n v="81"/>
    <n v="86"/>
    <n v="81"/>
    <n v="87"/>
    <n v="82"/>
    <n v="81"/>
    <n v="81"/>
    <n v="85"/>
    <n v="81"/>
    <m/>
    <m/>
    <m/>
    <m/>
    <m/>
    <m/>
    <s v="JACKMAN, HUGH MICHAEL"/>
    <n v="0"/>
    <n v="0"/>
    <n v="0"/>
    <n v="0"/>
    <n v="0"/>
    <n v="0"/>
    <n v="0"/>
    <n v="0"/>
    <n v="0"/>
    <n v="0"/>
    <n v="0"/>
  </r>
  <r>
    <n v="127944121537"/>
    <s v="LAST NAME"/>
    <s v="FIRST NAME"/>
    <s v="MIDDLE NAME"/>
    <m/>
    <s v="MALE"/>
    <d v="2003-10-23T00:00:00"/>
    <d v="2023-08-30T00:00:00"/>
    <s v="JUNIOR HIGH SCHOOL COMPLETER"/>
    <n v="87"/>
    <d v="2022-06-29T00:00:00"/>
    <s v="EAST GUSA NATIONAL HIGH SCHOOL"/>
    <s v="P-4A, Manga Street, Gusa, Cagayan de Oro City"/>
    <x v="15"/>
    <s v="LAST NAME, FIRST NAME MIDDLE NAME"/>
    <n v="21"/>
    <s v="NO"/>
    <s v="LAST NAME, FIRST NAME MIDDLE NAME"/>
    <n v="88"/>
    <n v="89"/>
    <n v="82"/>
    <n v="85"/>
    <n v="92"/>
    <n v="87"/>
    <n v="87"/>
    <n v="84"/>
    <n v="91"/>
    <n v="97"/>
    <n v="93"/>
    <n v="95"/>
    <m/>
    <m/>
    <m/>
    <m/>
    <m/>
    <m/>
    <m/>
    <m/>
    <s v="LAST NAME, FIRST NAME MIDDLE NAME"/>
    <n v="80"/>
    <n v="82"/>
    <n v="91"/>
    <n v="83"/>
    <n v="84"/>
    <n v="81"/>
    <n v="90"/>
    <n v="81"/>
    <n v="88"/>
    <n v="83"/>
    <n v="92"/>
    <n v="83"/>
    <n v="88"/>
    <n v="82"/>
    <m/>
    <m/>
    <m/>
    <m/>
    <m/>
    <m/>
    <s v="LAST NAME, FIRST NAME MIDDLE NAME"/>
    <n v="0"/>
    <n v="0"/>
    <n v="0"/>
    <n v="0"/>
    <n v="0"/>
    <n v="0"/>
    <n v="0"/>
    <n v="0"/>
    <n v="0"/>
    <n v="0"/>
    <n v="0"/>
  </r>
  <r>
    <n v="127944110091"/>
    <s v="PATTINSON"/>
    <s v="ROBERT"/>
    <s v="DOUGLAS"/>
    <m/>
    <s v="MALE"/>
    <d v="2006-06-10T00:00:00"/>
    <d v="2023-08-30T00:00:00"/>
    <s v="JUNIOR HIGH SCHOOL COMPLETER"/>
    <n v="81"/>
    <d v="2022-06-29T00:00:00"/>
    <s v="EAST GUSA NATIONAL HIGH SCHOOL"/>
    <s v="P-4A, Manga Street, Gusa, Cagayan de Oro City"/>
    <x v="16"/>
    <s v="PATTINSON, ROBERT DOUGLAS"/>
    <n v="19"/>
    <s v="NO"/>
    <s v="PATTINSON, ROBERT DOUGLAS"/>
    <n v="81"/>
    <n v="78"/>
    <n v="75"/>
    <n v="75"/>
    <n v="91"/>
    <n v="87"/>
    <n v="75"/>
    <n v="81"/>
    <n v="89"/>
    <n v="92"/>
    <n v="82"/>
    <n v="86"/>
    <m/>
    <m/>
    <m/>
    <m/>
    <m/>
    <m/>
    <m/>
    <m/>
    <s v="PATTINSON, ROBERT DOUGLAS"/>
    <n v="80"/>
    <n v="82"/>
    <n v="91"/>
    <n v="80"/>
    <n v="83"/>
    <n v="81"/>
    <n v="85"/>
    <n v="83"/>
    <n v="75"/>
    <n v="80"/>
    <n v="85"/>
    <n v="83"/>
    <n v="83"/>
    <n v="82"/>
    <m/>
    <m/>
    <m/>
    <m/>
    <m/>
    <m/>
    <s v="PATTINSON, ROBERT DOUGLAS"/>
    <n v="0"/>
    <n v="0"/>
    <n v="0"/>
    <n v="0"/>
    <n v="5"/>
    <n v="0"/>
    <n v="2"/>
    <n v="0"/>
    <n v="0"/>
    <n v="0"/>
    <n v="0"/>
  </r>
  <r>
    <n v="127944121446"/>
    <s v="PINE"/>
    <s v="CHRIS"/>
    <s v="MICHAEL"/>
    <m/>
    <s v="MALE"/>
    <d v="2005-08-02T00:00:00"/>
    <d v="2023-08-30T00:00:00"/>
    <s v="JUNIOR HIGH SCHOOL COMPLETER"/>
    <n v="83"/>
    <d v="2022-06-29T00:00:00"/>
    <s v="LAPASAN NATIONAL HIGH SCHOOL"/>
    <s v="Lapasan, Cagayan de Oro City"/>
    <x v="17"/>
    <s v="PINE, CHRIS MICHAEL"/>
    <n v="20"/>
    <s v="YES"/>
    <s v="PINE, CHRIS MICHAEL"/>
    <n v="75"/>
    <n v="75"/>
    <n v="75"/>
    <n v="75"/>
    <n v="89"/>
    <n v="82"/>
    <n v="75"/>
    <n v="75"/>
    <n v="75"/>
    <n v="87"/>
    <n v="81"/>
    <n v="86"/>
    <m/>
    <m/>
    <m/>
    <m/>
    <m/>
    <m/>
    <m/>
    <m/>
    <s v="PINE, CHRIS MICHAEL"/>
    <n v="80"/>
    <n v="83"/>
    <n v="91"/>
    <n v="80"/>
    <n v="78"/>
    <n v="83"/>
    <n v="84"/>
    <n v="80"/>
    <n v="83"/>
    <n v="81"/>
    <n v="82"/>
    <n v="83"/>
    <n v="83"/>
    <n v="82"/>
    <m/>
    <m/>
    <m/>
    <m/>
    <m/>
    <m/>
    <s v="PINE, CHRIS MICHAEL"/>
    <n v="0"/>
    <n v="0"/>
    <n v="0"/>
    <n v="0"/>
    <n v="3"/>
    <n v="6"/>
    <n v="0"/>
    <n v="0"/>
    <n v="0"/>
    <n v="0"/>
    <n v="0"/>
  </r>
  <r>
    <n v="131901110005"/>
    <s v="PRATT"/>
    <s v="CHRIS"/>
    <s v="ALLEN"/>
    <m/>
    <s v="MALE"/>
    <d v="2005-03-31T00:00:00"/>
    <d v="2023-08-30T00:00:00"/>
    <s v="JUNIOR HIGH SCHOOL COMPLETER"/>
    <n v="81"/>
    <d v="2022-06-29T00:00:00"/>
    <s v="EAST GUSA NATIONAL HIGH SCHOOL"/>
    <s v="P-4A, Manga Street, Gusa, Cagayan de Oro City"/>
    <x v="18"/>
    <s v="PRATT, CHRIS ALLEN"/>
    <n v="20"/>
    <s v="NO"/>
    <s v="PRATT, CHRIS ALLEN"/>
    <n v="84"/>
    <n v="77"/>
    <n v="82"/>
    <n v="80"/>
    <n v="89"/>
    <n v="85"/>
    <n v="87"/>
    <n v="84"/>
    <n v="91"/>
    <n v="95"/>
    <n v="84"/>
    <n v="88"/>
    <m/>
    <m/>
    <m/>
    <m/>
    <m/>
    <m/>
    <m/>
    <m/>
    <s v="PRATT, CHRIS ALLEN"/>
    <n v="89"/>
    <n v="90"/>
    <n v="91"/>
    <n v="92"/>
    <n v="81"/>
    <n v="92"/>
    <n v="86"/>
    <n v="90"/>
    <n v="80"/>
    <n v="89"/>
    <n v="86"/>
    <n v="90"/>
    <n v="86"/>
    <n v="91"/>
    <m/>
    <m/>
    <m/>
    <m/>
    <m/>
    <m/>
    <s v="PRATT, CHRIS ALLEN"/>
    <n v="0"/>
    <n v="0"/>
    <n v="0"/>
    <n v="0"/>
    <n v="0"/>
    <n v="2"/>
    <n v="2"/>
    <n v="0"/>
    <n v="0"/>
    <n v="0"/>
    <n v="0"/>
  </r>
  <r>
    <n v="127944100134"/>
    <s v="RADCLIFFE"/>
    <s v="DANIEL"/>
    <s v="JACOB"/>
    <m/>
    <s v="MALE"/>
    <d v="2006-09-18T00:00:00"/>
    <d v="2023-08-30T00:00:00"/>
    <s v="JUNIOR HIGH SCHOOL COMPLETER"/>
    <n v="82"/>
    <d v="2022-06-29T00:00:00"/>
    <s v="EAST GUSA NATIONAL HIGH SCHOOL"/>
    <s v="P-4A, Manga Street, Gusa, Cagayan de Oro City"/>
    <x v="19"/>
    <s v="RADCLIFFE, DANIEL JACOB"/>
    <n v="19"/>
    <s v="NO"/>
    <s v="RADCLIFFE, DANIEL JACOB"/>
    <n v="87"/>
    <n v="90"/>
    <n v="91"/>
    <n v="92"/>
    <n v="91"/>
    <n v="88"/>
    <n v="95"/>
    <n v="91"/>
    <n v="91"/>
    <n v="95"/>
    <n v="91"/>
    <n v="94"/>
    <m/>
    <m/>
    <m/>
    <m/>
    <m/>
    <m/>
    <m/>
    <m/>
    <s v="RADCLIFFE, DANIEL JACOB"/>
    <n v="80"/>
    <n v="81"/>
    <n v="95"/>
    <n v="81"/>
    <n v="90"/>
    <n v="82"/>
    <n v="93"/>
    <n v="82"/>
    <n v="92"/>
    <n v="83"/>
    <n v="92"/>
    <n v="83"/>
    <n v="90"/>
    <n v="82"/>
    <m/>
    <m/>
    <m/>
    <m/>
    <m/>
    <m/>
    <s v="RADCLIFFE, DANIEL JACOB"/>
    <n v="0"/>
    <n v="0"/>
    <n v="0"/>
    <n v="0"/>
    <n v="0"/>
    <n v="0"/>
    <n v="0"/>
    <n v="0"/>
    <n v="0"/>
    <n v="0"/>
    <n v="0"/>
  </r>
  <r>
    <n v="127455110013"/>
    <s v="REYNOLDS"/>
    <s v="RYAN"/>
    <s v="THOMAS"/>
    <m/>
    <s v="MALE"/>
    <d v="2002-01-01T00:00:00"/>
    <d v="2023-08-30T00:00:00"/>
    <s v="JUNIOR HIGH SCHOOL COMPLETER"/>
    <n v="84"/>
    <d v="2022-06-29T00:00:00"/>
    <s v="EAST GUSA NATIONAL HIGH SCHOOL"/>
    <s v="P-4A, Manga Street, Gusa, Cagayan de Oro City"/>
    <x v="20"/>
    <s v="REYNOLDS, RYAN THOMAS"/>
    <n v="23"/>
    <s v="NO"/>
    <s v="REYNOLDS, RYAN THOMAS"/>
    <n v="80"/>
    <n v="94"/>
    <n v="89"/>
    <n v="91"/>
    <n v="89"/>
    <n v="88"/>
    <n v="88"/>
    <n v="88"/>
    <n v="75"/>
    <n v="86"/>
    <n v="90"/>
    <n v="94"/>
    <m/>
    <m/>
    <m/>
    <m/>
    <m/>
    <m/>
    <m/>
    <m/>
    <s v="REYNOLDS, RYAN THOMAS"/>
    <n v="80"/>
    <n v="81"/>
    <n v="92"/>
    <n v="82"/>
    <n v="89"/>
    <n v="82"/>
    <n v="93"/>
    <n v="81"/>
    <n v="91"/>
    <n v="82"/>
    <n v="81"/>
    <n v="82"/>
    <n v="88"/>
    <n v="82"/>
    <m/>
    <m/>
    <m/>
    <m/>
    <m/>
    <m/>
    <s v="REYNOLDS, RYAN THOMAS"/>
    <n v="0"/>
    <n v="0"/>
    <n v="0"/>
    <n v="0"/>
    <n v="0"/>
    <n v="0"/>
    <n v="2"/>
    <n v="0"/>
    <n v="0"/>
    <n v="0"/>
    <n v="0"/>
  </r>
  <r>
    <n v="127944100162"/>
    <s v="TATUM"/>
    <s v="CHANNING"/>
    <s v="MATTHEW"/>
    <m/>
    <s v="FEMALE"/>
    <d v="2005-10-10T00:00:00"/>
    <d v="2023-08-30T00:00:00"/>
    <s v="JUNIOR HIGH SCHOOL COMPLETER"/>
    <n v="80"/>
    <d v="2022-06-29T00:00:00"/>
    <s v="EAST GUSA NATIONAL HIGH SCHOOL"/>
    <s v="P-4A, Manga Street, Gusa, Cagayan de Oro City"/>
    <x v="21"/>
    <s v="TATUM, CHANNING MATTHEW"/>
    <n v="20"/>
    <s v="NO"/>
    <s v="TATUM, CHANNING MATTHEW"/>
    <n v="88"/>
    <n v="87"/>
    <n v="78"/>
    <n v="77"/>
    <n v="91"/>
    <n v="87"/>
    <n v="83"/>
    <n v="81"/>
    <n v="90"/>
    <n v="90"/>
    <n v="89"/>
    <n v="92"/>
    <m/>
    <m/>
    <m/>
    <m/>
    <m/>
    <m/>
    <m/>
    <m/>
    <s v="TATUM, CHANNING MATTHEW"/>
    <n v="80"/>
    <n v="81"/>
    <n v="89"/>
    <n v="81"/>
    <n v="80"/>
    <n v="80"/>
    <n v="85"/>
    <n v="81"/>
    <n v="86"/>
    <n v="82"/>
    <n v="88"/>
    <n v="81"/>
    <n v="85"/>
    <n v="81"/>
    <m/>
    <m/>
    <m/>
    <m/>
    <m/>
    <m/>
    <s v="TATUM, CHANNING MATTHEW"/>
    <n v="0"/>
    <n v="0"/>
    <n v="0"/>
    <n v="0"/>
    <n v="0"/>
    <n v="0"/>
    <n v="0"/>
    <n v="0"/>
    <n v="0"/>
    <n v="0"/>
    <n v="0"/>
  </r>
  <r>
    <n v="127944121286"/>
    <s v="BLAKE"/>
    <s v="ANNE"/>
    <s v="MICHELLE"/>
    <m/>
    <s v="FEMALE"/>
    <d v="2004-06-29T00:00:00"/>
    <d v="2023-08-30T00:00:00"/>
    <s v="JUNIOR HIGH SCHOOL COMPLETER"/>
    <n v="81"/>
    <d v="2022-06-29T00:00:00"/>
    <s v="EAST GUSA NATIONAL HIGH SCHOOL"/>
    <s v="P-4A, Manga Street, Gusa, Cagayan de Oro City"/>
    <x v="22"/>
    <s v="BLAKE, ANNE MICHELLE"/>
    <n v="21"/>
    <s v="NO"/>
    <s v="BLAKE, ANNE MICHELLE"/>
    <n v="75"/>
    <n v="75"/>
    <n v="82"/>
    <n v="82"/>
    <n v="89"/>
    <n v="81"/>
    <n v="75"/>
    <n v="80"/>
    <n v="70"/>
    <n v="82"/>
    <n v="83"/>
    <n v="82"/>
    <m/>
    <m/>
    <m/>
    <m/>
    <m/>
    <m/>
    <m/>
    <m/>
    <s v="BLAKE, ANNE MICHELLE"/>
    <n v="80"/>
    <n v="80"/>
    <n v="90"/>
    <n v="83"/>
    <n v="81"/>
    <n v="80"/>
    <n v="78"/>
    <n v="82"/>
    <n v="75"/>
    <n v="80"/>
    <n v="81"/>
    <n v="82"/>
    <n v="81"/>
    <n v="81"/>
    <m/>
    <m/>
    <m/>
    <m/>
    <m/>
    <m/>
    <s v="BLAKE, ANNE MICHELLE"/>
    <n v="0"/>
    <n v="0"/>
    <n v="0"/>
    <n v="0"/>
    <n v="0"/>
    <n v="10"/>
    <n v="0"/>
    <n v="0"/>
    <n v="0"/>
    <n v="0"/>
    <n v="0"/>
  </r>
  <r>
    <n v="127944110187"/>
    <s v="GADOT"/>
    <s v="GAL"/>
    <s v="REBECCA"/>
    <m/>
    <s v="FEMALE"/>
    <d v="2005-07-19T00:00:00"/>
    <d v="2023-08-30T00:00:00"/>
    <s v="JUNIOR HIGH SCHOOL COMPLETER"/>
    <n v="83"/>
    <d v="2022-06-29T00:00:00"/>
    <s v="EAST GUSA NATIONAL HIGH SCHOOL"/>
    <s v="P-4A, Manga Street, Gusa, Cagayan de Oro City"/>
    <x v="23"/>
    <s v="GADOT, GAL REBECCA"/>
    <n v="20"/>
    <s v="NO"/>
    <s v="GADOT, GAL REBECCA"/>
    <n v="85"/>
    <n v="78"/>
    <n v="77"/>
    <n v="76"/>
    <n v="92"/>
    <n v="85"/>
    <n v="80"/>
    <n v="81"/>
    <n v="75"/>
    <n v="95"/>
    <n v="88"/>
    <n v="91"/>
    <m/>
    <m/>
    <m/>
    <m/>
    <m/>
    <m/>
    <m/>
    <m/>
    <s v="GADOT, GAL REBECCA"/>
    <n v="80"/>
    <n v="83"/>
    <n v="91"/>
    <n v="83"/>
    <n v="79"/>
    <n v="82"/>
    <n v="86"/>
    <n v="81"/>
    <n v="88"/>
    <n v="81"/>
    <n v="81"/>
    <n v="81"/>
    <n v="84"/>
    <n v="82"/>
    <m/>
    <m/>
    <m/>
    <m/>
    <m/>
    <m/>
    <s v="GADOT, GAL REBECCA"/>
    <n v="0"/>
    <n v="0"/>
    <n v="0"/>
    <n v="0"/>
    <n v="0"/>
    <n v="0"/>
    <n v="0"/>
    <n v="0"/>
    <n v="0"/>
    <n v="0"/>
    <n v="0"/>
  </r>
  <r>
    <n v="127944130550"/>
    <s v="JOHANSSON"/>
    <s v="SCARLETT"/>
    <s v="MARIE"/>
    <m/>
    <s v="FEMALE"/>
    <d v="2003-11-10T00:00:00"/>
    <d v="2023-08-30T00:00:00"/>
    <s v="JUNIOR HIGH SCHOOL COMPLETER"/>
    <n v="81"/>
    <d v="2022-06-29T00:00:00"/>
    <s v="EAST GUSA NATIONAL HIGH SCHOOL"/>
    <s v="P-4A, Manga Street, Gusa, Cagayan de Oro City"/>
    <x v="24"/>
    <s v="JOHANSSON, SCARLETT MARIE"/>
    <n v="21"/>
    <s v="NO"/>
    <s v="JOHANSSON, SCARLETT MARIE"/>
    <n v="85"/>
    <n v="85"/>
    <n v="79"/>
    <n v="75"/>
    <n v="92"/>
    <n v="86"/>
    <n v="83"/>
    <n v="81"/>
    <n v="84"/>
    <n v="93"/>
    <n v="88"/>
    <n v="91"/>
    <m/>
    <m/>
    <m/>
    <m/>
    <m/>
    <m/>
    <m/>
    <m/>
    <s v="JOHANSSON, SCARLETT MARIE"/>
    <n v="91"/>
    <n v="92"/>
    <n v="91"/>
    <n v="93"/>
    <n v="82"/>
    <n v="93"/>
    <n v="88"/>
    <n v="92"/>
    <n v="90"/>
    <n v="93"/>
    <n v="87"/>
    <n v="93"/>
    <n v="88"/>
    <n v="93"/>
    <m/>
    <m/>
    <m/>
    <m/>
    <m/>
    <m/>
    <s v="JOHANSSON, SCARLETT MARIE"/>
    <n v="0"/>
    <n v="0"/>
    <n v="0"/>
    <n v="0"/>
    <n v="0"/>
    <n v="0"/>
    <n v="0"/>
    <n v="0"/>
    <n v="0"/>
    <n v="0"/>
    <n v="0"/>
  </r>
  <r>
    <n v="127944121256"/>
    <s v="LARSON"/>
    <s v="BRIE"/>
    <s v="ALEXANDRA"/>
    <m/>
    <s v="FEMALE"/>
    <d v="2004-07-05T00:00:00"/>
    <d v="2023-08-30T00:00:00"/>
    <s v="JUNIOR HIGH SCHOOL COMPLETER"/>
    <n v="86"/>
    <d v="2022-06-29T00:00:00"/>
    <s v="EAST GUSA NATIONAL HIGH SCHOOL"/>
    <s v="P-4A, Manga Street, Gusa, Cagayan de Oro City"/>
    <x v="25"/>
    <s v="LARSON, BRIE ALEXANDRA"/>
    <n v="21"/>
    <s v="NO"/>
    <s v="LARSON, BRIE ALEXANDRA"/>
    <n v="82"/>
    <n v="82"/>
    <n v="80"/>
    <n v="82"/>
    <n v="91"/>
    <n v="87"/>
    <n v="88"/>
    <n v="88"/>
    <n v="84"/>
    <n v="90"/>
    <n v="85"/>
    <n v="93"/>
    <m/>
    <m/>
    <m/>
    <m/>
    <m/>
    <m/>
    <m/>
    <m/>
    <s v="LARSON, BRIE ALEXANDRA"/>
    <n v="80"/>
    <n v="81"/>
    <n v="91"/>
    <n v="81"/>
    <n v="81"/>
    <n v="83"/>
    <n v="88"/>
    <n v="83"/>
    <n v="88"/>
    <n v="82"/>
    <n v="92"/>
    <n v="83"/>
    <n v="87"/>
    <n v="82"/>
    <m/>
    <m/>
    <m/>
    <m/>
    <m/>
    <m/>
    <s v="LARSON, BRIE ALEXANDRA"/>
    <n v="0"/>
    <n v="0"/>
    <n v="0"/>
    <n v="0"/>
    <n v="0"/>
    <n v="0"/>
    <n v="0"/>
    <n v="0"/>
    <n v="0"/>
    <n v="0"/>
    <n v="0"/>
  </r>
  <r>
    <n v="127944130668"/>
    <s v="LAWRENCE"/>
    <s v="JENNIFER"/>
    <s v="KATE"/>
    <m/>
    <s v="FEMALE"/>
    <d v="2005-07-22T00:00:00"/>
    <d v="2023-08-30T00:00:00"/>
    <s v="JUNIOR HIGH SCHOOL COMPLETER"/>
    <n v="85"/>
    <d v="2022-06-29T00:00:00"/>
    <s v="EAST GUSA NATIONAL HIGH SCHOOL"/>
    <s v="P-4A, Manga Street, Gusa, Cagayan de Oro City"/>
    <x v="26"/>
    <s v="LAWRENCE, JENNIFER KATE"/>
    <n v="20"/>
    <s v="NO"/>
    <s v="LAWRENCE, JENNIFER KATE"/>
    <n v="81"/>
    <n v="75"/>
    <n v="77"/>
    <n v="75"/>
    <n v="92"/>
    <n v="86"/>
    <n v="86"/>
    <n v="83"/>
    <n v="75"/>
    <n v="90"/>
    <n v="88"/>
    <n v="89"/>
    <m/>
    <m/>
    <m/>
    <m/>
    <m/>
    <m/>
    <m/>
    <m/>
    <s v="LAWRENCE, JENNIFER KATE"/>
    <n v="80"/>
    <n v="83"/>
    <n v="89"/>
    <n v="81"/>
    <n v="79"/>
    <n v="80"/>
    <n v="85"/>
    <n v="83"/>
    <n v="88"/>
    <n v="82"/>
    <n v="85"/>
    <n v="80"/>
    <n v="84"/>
    <n v="82"/>
    <m/>
    <m/>
    <m/>
    <m/>
    <m/>
    <m/>
    <s v="LAWRENCE, JENNIFER KATE"/>
    <n v="0"/>
    <n v="0"/>
    <n v="0"/>
    <n v="0"/>
    <n v="0"/>
    <n v="8"/>
    <n v="5"/>
    <n v="0"/>
    <n v="0"/>
    <n v="0"/>
    <n v="0"/>
  </r>
  <r>
    <n v="127944090258"/>
    <s v="ROBBIE"/>
    <s v="MARGOT"/>
    <s v="ELIZABETH"/>
    <m/>
    <s v="FEMALE"/>
    <d v="2000-02-29T00:00:00"/>
    <d v="2023-08-30T00:00:00"/>
    <s v="JUNIOR HIGH SCHOOL COMPLETER"/>
    <n v="80"/>
    <d v="2022-06-29T00:00:00"/>
    <s v="LAPASAN NATIONAL HIGH SCHOOL"/>
    <s v="Lapasan, Cagayan de Oro City"/>
    <x v="27"/>
    <s v="ROBBIE, MARGOT ELIZABETH"/>
    <n v="25"/>
    <s v="YES"/>
    <s v="ROBBIE, MARGOT ELIZABETH"/>
    <n v="82"/>
    <n v="75"/>
    <n v="78"/>
    <n v="78"/>
    <n v="89"/>
    <n v="87"/>
    <n v="75"/>
    <n v="77"/>
    <n v="84"/>
    <n v="90"/>
    <n v="82"/>
    <n v="87"/>
    <m/>
    <m/>
    <m/>
    <m/>
    <m/>
    <m/>
    <m/>
    <m/>
    <s v="ROBBIE, MARGOT ELIZABETH"/>
    <n v="82"/>
    <n v="82"/>
    <n v="91"/>
    <n v="82"/>
    <n v="82"/>
    <n v="84"/>
    <n v="86"/>
    <n v="82"/>
    <n v="75"/>
    <n v="84"/>
    <n v="86"/>
    <n v="84"/>
    <n v="84"/>
    <n v="83"/>
    <m/>
    <m/>
    <m/>
    <m/>
    <m/>
    <m/>
    <s v="ROBBIE, MARGOT ELIZABETH"/>
    <n v="0"/>
    <n v="0"/>
    <n v="0"/>
    <n v="0"/>
    <n v="0"/>
    <n v="6"/>
    <n v="6"/>
    <n v="4"/>
    <n v="0"/>
    <n v="0"/>
    <n v="0"/>
  </r>
  <r>
    <n v="127943120020"/>
    <s v="STONE"/>
    <s v="EMMA"/>
    <s v="LOUISE"/>
    <m/>
    <s v="FEMALE"/>
    <d v="2005-10-13T00:00:00"/>
    <d v="2023-08-30T00:00:00"/>
    <s v="JUNIOR HIGH SCHOOL COMPLETER"/>
    <n v="88"/>
    <d v="2022-06-29T00:00:00"/>
    <s v="EAST GUSA NATIONAL HIGH SCHOOL"/>
    <s v="P-4A, Manga Street, Gusa, Cagayan de Oro City"/>
    <x v="28"/>
    <s v="STONE, EMMA LOUISE"/>
    <n v="20"/>
    <s v="NO"/>
    <s v="STONE, EMMA LOUISE"/>
    <n v="90"/>
    <n v="89"/>
    <n v="91"/>
    <n v="92"/>
    <n v="89"/>
    <n v="87"/>
    <n v="95"/>
    <n v="95"/>
    <n v="93"/>
    <n v="99"/>
    <n v="95"/>
    <n v="97"/>
    <m/>
    <m/>
    <m/>
    <m/>
    <m/>
    <m/>
    <m/>
    <m/>
    <s v="STONE, EMMA LOUISE"/>
    <n v="80"/>
    <n v="81"/>
    <n v="91"/>
    <n v="81"/>
    <n v="90"/>
    <n v="80"/>
    <n v="93"/>
    <n v="83"/>
    <n v="91"/>
    <n v="81"/>
    <n v="92"/>
    <n v="80"/>
    <n v="90"/>
    <n v="81"/>
    <m/>
    <m/>
    <m/>
    <m/>
    <m/>
    <m/>
    <s v="STONE, EMMA LOUISE"/>
    <n v="0"/>
    <n v="0"/>
    <n v="0"/>
    <n v="0"/>
    <n v="0"/>
    <n v="0"/>
    <n v="0"/>
    <n v="0"/>
    <n v="0"/>
    <n v="0"/>
    <n v="0"/>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49FA5A-C577-4C1F-A388-40178391DD88}" name="pt_student_names_list" cacheId="3"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rowHeaderCaption="Student Lookup">
  <location ref="E12:E13" firstHeaderRow="1" firstDataRow="1" firstDataCol="1"/>
  <pivotFields count="71">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6">
        <item h="1" m="1" x="84"/>
        <item h="1" m="1" x="30"/>
        <item h="1" m="1" x="31"/>
        <item h="1" m="1" x="32"/>
        <item h="1" m="1" x="82"/>
        <item h="1" m="1" x="34"/>
        <item h="1" m="1" x="35"/>
        <item h="1" m="1" x="83"/>
        <item h="1" m="1" x="57"/>
        <item h="1" m="1" x="58"/>
        <item h="1" m="1" x="33"/>
        <item h="1" m="1" x="36"/>
        <item h="1" x="29"/>
        <item h="1" m="1" x="80"/>
        <item h="1" m="1" x="81"/>
        <item h="1" m="1" x="77"/>
        <item h="1" m="1" x="78"/>
        <item h="1" m="1" x="79"/>
        <item h="1" m="1" x="37"/>
        <item h="1" m="1" x="38"/>
        <item h="1" m="1" x="39"/>
        <item h="1" m="1" x="40"/>
        <item h="1" m="1" x="41"/>
        <item h="1" m="1" x="42"/>
        <item h="1" m="1" x="43"/>
        <item h="1" m="1" x="44"/>
        <item h="1" m="1" x="45"/>
        <item h="1" m="1" x="46"/>
        <item h="1" m="1" x="47"/>
        <item h="1" m="1" x="48"/>
        <item h="1" m="1" x="49"/>
        <item h="1" m="1" x="50"/>
        <item h="1" m="1" x="51"/>
        <item h="1" m="1" x="52"/>
        <item h="1" m="1" x="53"/>
        <item h="1" m="1" x="54"/>
        <item h="1" m="1" x="55"/>
        <item h="1" m="1" x="56"/>
        <item h="1" m="1" x="59"/>
        <item h="1" m="1" x="60"/>
        <item h="1" m="1" x="61"/>
        <item h="1" m="1" x="62"/>
        <item h="1" m="1" x="63"/>
        <item h="1" m="1" x="64"/>
        <item h="1" m="1" x="65"/>
        <item h="1" m="1" x="66"/>
        <item h="1" m="1" x="67"/>
        <item h="1" m="1" x="68"/>
        <item h="1" m="1" x="69"/>
        <item h="1" m="1" x="70"/>
        <item h="1" m="1" x="71"/>
        <item h="1" m="1" x="72"/>
        <item h="1" m="1" x="73"/>
        <item h="1" m="1" x="74"/>
        <item h="1" m="1" x="75"/>
        <item h="1" m="1" x="76"/>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x="27"/>
        <item h="1" x="2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3"/>
  </rowFields>
  <rowItems count="1">
    <i>
      <x v="83"/>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udent_Name1" xr10:uid="{45074E64-F0EA-4218-ADD4-DC5D1D3160F0}" sourceName="Student Name">
  <pivotTables>
    <pivotTable tabId="11" name="pt_student_names_list"/>
  </pivotTables>
  <data>
    <tabular pivotCacheId="588912075" customListSort="0">
      <items count="85">
        <i x="29"/>
        <i x="0"/>
        <i x="1"/>
        <i x="22"/>
        <i x="2"/>
        <i x="3"/>
        <i x="4"/>
        <i x="5"/>
        <i x="6"/>
        <i x="7"/>
        <i x="23"/>
        <i x="8"/>
        <i x="9"/>
        <i x="10"/>
        <i x="11"/>
        <i x="12"/>
        <i x="13"/>
        <i x="14"/>
        <i x="24"/>
        <i x="25"/>
        <i x="15"/>
        <i x="26"/>
        <i x="16"/>
        <i x="17"/>
        <i x="18"/>
        <i x="19"/>
        <i x="20"/>
        <i x="27" s="1"/>
        <i x="28"/>
        <i x="21"/>
        <i x="84" nd="1"/>
        <i x="30" nd="1"/>
        <i x="59" nd="1"/>
        <i x="31" nd="1"/>
        <i x="32" nd="1"/>
        <i x="82" nd="1"/>
        <i x="33" nd="1"/>
        <i x="34" nd="1"/>
        <i x="35" nd="1"/>
        <i x="83" nd="1"/>
        <i x="36" nd="1"/>
        <i x="57" nd="1"/>
        <i x="37" nd="1"/>
        <i x="58" nd="1"/>
        <i x="38" nd="1"/>
        <i x="60" nd="1"/>
        <i x="69" nd="1"/>
        <i x="61" nd="1"/>
        <i x="70" nd="1"/>
        <i x="39" nd="1"/>
        <i x="62" nd="1"/>
        <i x="40" nd="1"/>
        <i x="41" nd="1"/>
        <i x="42" nd="1"/>
        <i x="63" nd="1"/>
        <i x="43" nd="1"/>
        <i x="44" nd="1"/>
        <i x="64" nd="1"/>
        <i x="65" nd="1"/>
        <i x="45" nd="1"/>
        <i x="46" nd="1"/>
        <i x="81" nd="1"/>
        <i x="71" nd="1"/>
        <i x="66" nd="1"/>
        <i x="72" nd="1"/>
        <i x="47" nd="1"/>
        <i x="73" nd="1"/>
        <i x="48" nd="1"/>
        <i x="49" nd="1"/>
        <i x="78" nd="1"/>
        <i x="50" nd="1"/>
        <i x="67" nd="1"/>
        <i x="74" nd="1"/>
        <i x="51" nd="1"/>
        <i x="52" nd="1"/>
        <i x="53" nd="1"/>
        <i x="77" nd="1"/>
        <i x="80" nd="1"/>
        <i x="54" nd="1"/>
        <i x="55" nd="1"/>
        <i x="68" nd="1"/>
        <i x="75" nd="1"/>
        <i x="56" nd="1"/>
        <i x="79" nd="1"/>
        <i x="76"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1" xr10:uid="{A67DF4BE-3EA6-40AF-868A-29C0A016C66E}" cache="Slicer_Student_Name1" caption="Student Name" showCaption="0" style="student_name_slic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xr10:uid="{F49AC275-41B9-454E-8E40-0A0D8D84B1E0}" cache="Slicer_Student_Name1" caption="Student Name" startItem="13" showCaption="0" style="student_name_slice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2" xr10:uid="{EA94F1A7-342D-47C9-853C-FBBB40EEA5CD}" cache="Slicer_Student_Name1" caption="Student Name" startItem="1" showCaption="0" style="student_name_slicer"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5" xr10:uid="{66D2DB45-F513-4884-8004-EE1726C36CF0}" cache="Slicer_Student_Name1" caption="Student Name" showCaption="0" style="student_name_slicer"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6" xr10:uid="{91E012D8-DBEB-4374-9314-B1505D4BED33}" cache="Slicer_Student_Name1" caption="Student Name" startItem="3" showCaption="0" style="student_name_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A348983-2B7C-4809-9C58-B6364D9F8626}" name="tbl_gen_info" displayName="tbl_gen_info" ref="C4:D13" totalsRowShown="0" headerRowDxfId="97" dataDxfId="96">
  <autoFilter ref="C4:D13" xr:uid="{AA348983-2B7C-4809-9C58-B6364D9F8626}">
    <filterColumn colId="0" hiddenButton="1"/>
    <filterColumn colId="1" hiddenButton="1"/>
  </autoFilter>
  <tableColumns count="2">
    <tableColumn id="1" xr3:uid="{3CE09DED-DE4F-4FD5-A2AC-C2DE1930919C}" name="ATTRIBUTES" dataDxfId="95"/>
    <tableColumn id="2" xr3:uid="{345A804A-3068-451D-AEDA-40FAE257CC13}" name="DATA" dataDxfId="94"/>
  </tableColumns>
  <tableStyleInfo name="style_learners_information" showFirstColumn="1" showLastColumn="0" showRowStripes="0"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998364-86A4-4134-8A77-EECCF8D5E3F4}" name="tbl_subjects" displayName="tbl_subjects" ref="F4:I56" totalsRowShown="0" headerRowDxfId="93" dataDxfId="92">
  <autoFilter ref="F4:I56" xr:uid="{4D998364-86A4-4134-8A77-EECCF8D5E3F4}"/>
  <sortState xmlns:xlrd2="http://schemas.microsoft.com/office/spreadsheetml/2017/richdata2" ref="F5:I56">
    <sortCondition ref="I5:I56"/>
    <sortCondition ref="H5:H56"/>
  </sortState>
  <tableColumns count="4">
    <tableColumn id="1" xr3:uid="{F3731634-EB9E-481A-A8C6-520E87A60A91}" name="SUBJECT CATEGORY" dataDxfId="91"/>
    <tableColumn id="2" xr3:uid="{B2F0AD2D-CD3B-4C4E-9850-35AADC81B782}" name="SUBJECTS" dataDxfId="90"/>
    <tableColumn id="3" xr3:uid="{D442C425-07EC-479C-8084-5E4145484024}" name="SORT ORDER" dataDxfId="89"/>
    <tableColumn id="4" xr3:uid="{70641701-A8A1-4351-BAAB-1793CD4E6C84}" name="SEMESTER" dataDxfId="88"/>
  </tableColumns>
  <tableStyleInfo name="style_learners_information" showFirstColumn="1" showLastColumn="0" showRowStripes="0"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963B7E-E5B0-4E48-8CAC-4930522956EE}" name="tbl_learners_info" displayName="tbl_learners_info" ref="C4:BU100" totalsRowShown="0" headerRowDxfId="87" dataDxfId="86">
  <autoFilter ref="C4:BU100" xr:uid="{00000000-0009-0000-0100-000001000000}"/>
  <sortState xmlns:xlrd2="http://schemas.microsoft.com/office/spreadsheetml/2017/richdata2" ref="C5:O40">
    <sortCondition descending="1" ref="H5:H40"/>
    <sortCondition ref="D5:D40"/>
  </sortState>
  <tableColumns count="71">
    <tableColumn id="1" xr3:uid="{35FAC269-41D4-4767-9FAC-2F993E5340C0}" name="LRN" dataDxfId="85"/>
    <tableColumn id="2" xr3:uid="{12D1A06D-7825-4899-B775-6F74BF03EA5E}" name="Last Name" dataDxfId="84"/>
    <tableColumn id="4" xr3:uid="{27D13225-AF45-4884-80D1-08B59D06283F}" name="First Name" dataDxfId="83"/>
    <tableColumn id="5" xr3:uid="{4D7CA2BD-A1C4-46AA-8D65-DB7C362D6CCA}" name="Middle Name" dataDxfId="82"/>
    <tableColumn id="71" xr3:uid="{64B76850-D8EF-4AF3-86DE-0A7913C6C4F5}" name="Name Extension_x000a_(JR.,SR,. etc)" dataDxfId="81" dataCellStyle="Normal 2"/>
    <tableColumn id="6" xr3:uid="{3B1E4F02-9D35-4337-8F29-ADD56827FFA6}" name="Sex" dataDxfId="80"/>
    <tableColumn id="7" xr3:uid="{B6E06742-7D96-469C-BAD5-A66ECDE0EC20}" name="Date of Birth" dataDxfId="79" dataCellStyle="Phone"/>
    <tableColumn id="8" xr3:uid="{02EA08FD-DB41-43FB-8AD7-32E8796F052E}" name="Date of SHS Admission" dataDxfId="78"/>
    <tableColumn id="3" xr3:uid="{59F624FD-58B2-4880-9838-16BD0FF0BE2F}" name="Eiligibility for Enrollment" dataDxfId="77"/>
    <tableColumn id="9" xr3:uid="{A7A91FCE-E52C-464A-BDDF-BF4F09B0219E}" name="Gen. Ave / Rating" dataDxfId="76"/>
    <tableColumn id="10" xr3:uid="{1D072BB1-8792-47F3-AFC0-1F998D98895D}" name="Date of Graduation /_x000a_Completion/Examination" dataDxfId="75"/>
    <tableColumn id="11" xr3:uid="{5AE12F9A-FF92-48F9-8AF0-A0E7F0F8251C}" name="Name of Previous School" dataDxfId="74"/>
    <tableColumn id="12" xr3:uid="{0CDE8A45-CBCC-4892-A39A-8BAD3FC0748D}" name="School Address" dataDxfId="73"/>
    <tableColumn id="13" xr3:uid="{404B8839-D786-4668-A1E1-7448E63BCBE1}" name="Student Name" dataDxfId="72">
      <calculatedColumnFormula>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calculatedColumnFormula>
    </tableColumn>
    <tableColumn id="15" xr3:uid="{75091C62-8085-4490-BEBB-7A3404C223D5}" name="Full Name (Spelled Out)" dataDxfId="71">
      <calculatedColumnFormula>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calculatedColumnFormula>
    </tableColumn>
    <tableColumn id="14" xr3:uid="{5819DDC2-BBC4-4C5C-97C7-243F91BEA9E0}" name="Age" dataDxfId="70">
      <calculatedColumnFormula>IF(tbl_learners_info[[#This Row],[Date of Birth]]&lt;&gt;0,DATEDIF(tbl_learners_info[[#This Row],[Date of Birth]], TODAY(), "Y"),"")</calculatedColumnFormula>
    </tableColumn>
    <tableColumn id="16" xr3:uid="{4FF19F7B-4416-42F4-B813-99F6F4CFE847}" name="Transferee" dataDxfId="69">
      <calculatedColumnFormula>IF(tbl_learners_info[[#This Row],[Name of Previous School]]&lt;&gt;"",IF(tbl_learners_info[[#This Row],[Name of Previous School]]="EAST GUSA NATIONAL HIGH SCHOOL","NO","YES"),"")</calculatedColumnFormula>
    </tableColumn>
    <tableColumn id="37" xr3:uid="{BB3B5FC6-18FA-41E1-ABC3-DFA6F62BBC30}" name="Last Name, First Name, Middle Initial " dataDxfId="68" dataCellStyle="Normal 2">
      <calculatedColumnFormula>tbl_learners_info[[#This Row],[Full Name (Spelled Out)]]</calculatedColumnFormula>
    </tableColumn>
    <tableColumn id="17" xr3:uid="{81660440-156F-4B8C-B10A-4238DEDE5354}" name="10" dataDxfId="67"/>
    <tableColumn id="18" xr3:uid="{DD977404-794B-407A-8229-5DABE87F964D}" name="20" dataDxfId="66"/>
    <tableColumn id="19" xr3:uid="{AD21FEBA-EA66-48DC-8058-B43C295F2526}" name="11" dataDxfId="65"/>
    <tableColumn id="20" xr3:uid="{4CF6F925-2B26-4CD8-BD01-286FEC882503}" name="21" dataDxfId="64"/>
    <tableColumn id="21" xr3:uid="{995693E9-C837-48C2-8E70-4270E529A359}" name="12" dataDxfId="63"/>
    <tableColumn id="22" xr3:uid="{244AEFE7-D343-4716-ABFF-4DF2B2D01FB6}" name="22" dataDxfId="62"/>
    <tableColumn id="23" xr3:uid="{775E67D3-85F2-46D0-9F0F-26EB576A0010}" name="13" dataDxfId="61"/>
    <tableColumn id="24" xr3:uid="{DFBF26EB-21A2-4325-9C79-29832A689809}" name="23" dataDxfId="60"/>
    <tableColumn id="25" xr3:uid="{DAB18249-825E-4F3B-9DA4-075DA57435BC}" name="14" dataDxfId="59"/>
    <tableColumn id="26" xr3:uid="{146C6CCF-244C-49C5-85DA-D9996104D654}" name="24" dataDxfId="58"/>
    <tableColumn id="27" xr3:uid="{B36086EE-A0F3-42FC-9364-F24696B7E45E}" name="15" dataDxfId="57"/>
    <tableColumn id="28" xr3:uid="{C32DEF76-6444-459A-B77F-3ED326D9303F}" name="25" dataDxfId="56"/>
    <tableColumn id="29" xr3:uid="{8DA57580-A538-40B9-8E72-49746249AAB5}" name="16" dataDxfId="55"/>
    <tableColumn id="30" xr3:uid="{5B32E9C8-D851-4818-8E31-474095EFDE08}" name="26" dataDxfId="54"/>
    <tableColumn id="31" xr3:uid="{3B2E9F4A-B7E9-4F52-B477-7A530602C674}" name="17" dataDxfId="53"/>
    <tableColumn id="32" xr3:uid="{B4EB3894-F5DA-4838-8F42-D0EB43DCAF89}" name="27" dataDxfId="52"/>
    <tableColumn id="33" xr3:uid="{30E5B145-9B6F-43FB-8D8F-FC3011D1FFEE}" name="18" dataDxfId="51"/>
    <tableColumn id="34" xr3:uid="{470DA876-2A5A-4093-B139-689DF6060CD7}" name="28" dataDxfId="50"/>
    <tableColumn id="35" xr3:uid="{55167DBA-EF56-4678-A8BD-9FFA68698BCF}" name="19" dataDxfId="49"/>
    <tableColumn id="36" xr3:uid="{3368E8E7-452B-43A5-83F3-039776250A43}" name="29" dataDxfId="48"/>
    <tableColumn id="38" xr3:uid="{54C41BB6-4252-4CEB-8CB6-5753C1784B1A}" name="Last Name, First Name, Middle Initial2" dataDxfId="47">
      <calculatedColumnFormula>tbl_learners_info[[#This Row],[Last Name, First Name, Middle Initial ]]</calculatedColumnFormula>
    </tableColumn>
    <tableColumn id="39" xr3:uid="{FC4C7D3C-C454-4635-A527-29D40B3154DA}" name="3a" dataDxfId="46"/>
    <tableColumn id="40" xr3:uid="{A75D9713-B0D5-476C-A623-DC198881E8E8}" name="4a" dataDxfId="45"/>
    <tableColumn id="41" xr3:uid="{78CAF6A5-956E-4F46-8AF9-E7A5A78D9CE6}" name="3b" dataDxfId="44"/>
    <tableColumn id="42" xr3:uid="{EE9E481A-1CE6-4F5E-8BC3-1CFBE6338C05}" name="4b" dataDxfId="43"/>
    <tableColumn id="43" xr3:uid="{EF1B674E-E9F8-4C81-BEF3-9C4446D3D689}" name="3c" dataDxfId="42"/>
    <tableColumn id="44" xr3:uid="{F3A206F6-A7AE-43E9-81F8-F5702358D8BF}" name="4c" dataDxfId="41"/>
    <tableColumn id="45" xr3:uid="{C4175BBF-481C-4AA6-9008-8A56B0449175}" name="3d" dataDxfId="40"/>
    <tableColumn id="46" xr3:uid="{A2032814-6447-46C3-A5D8-7764233D8BA3}" name="4d" dataDxfId="39"/>
    <tableColumn id="47" xr3:uid="{10A7566B-4285-4814-AE87-D364CD6CCF7B}" name="3e" dataDxfId="38"/>
    <tableColumn id="48" xr3:uid="{810CAB55-0323-4D0D-8DB9-067B91B8CD18}" name="4e" dataDxfId="37"/>
    <tableColumn id="49" xr3:uid="{BE8FAFC8-16E3-4550-B747-27FAD297F457}" name="3f" dataDxfId="36"/>
    <tableColumn id="50" xr3:uid="{9556DD3E-9485-4128-9A8F-8AD21E838EC5}" name="4f" dataDxfId="35"/>
    <tableColumn id="51" xr3:uid="{71535746-A44A-40D1-8A86-E325777514FE}" name="3g" dataDxfId="34"/>
    <tableColumn id="52" xr3:uid="{3470549C-3D65-44A2-BB13-6DAB9CE5A0DB}" name="4g" dataDxfId="33"/>
    <tableColumn id="53" xr3:uid="{4E9D77B8-61A6-4D08-A93C-B1632D5FDED0}" name="3h" dataDxfId="32"/>
    <tableColumn id="54" xr3:uid="{C6652655-261F-41D5-ADC9-CF1D0FC738C6}" name="4h" dataDxfId="31"/>
    <tableColumn id="55" xr3:uid="{F9590239-F17A-426A-9BA3-7A5E31E9E178}" name="3i" dataDxfId="30"/>
    <tableColumn id="56" xr3:uid="{6389C79E-AD0C-4D0F-BD98-A6E077A524CE}" name="4i" dataDxfId="29"/>
    <tableColumn id="57" xr3:uid="{C3072738-25E0-4ED1-B54A-2FBA5E030891}" name="3j" dataDxfId="28"/>
    <tableColumn id="58" xr3:uid="{EE711EC2-B459-4B20-A3B5-29FA9305FED0}" name="4j" dataDxfId="27"/>
    <tableColumn id="59" xr3:uid="{E6B41526-408B-4FA2-893F-4B237EDEA568}" name="Last Name, First Name, Middle Initial22" dataDxfId="26" dataCellStyle="Normal 2">
      <calculatedColumnFormula>tbl_learners_info[[#This Row],[Last Name, First Name, Middle Initial ]]</calculatedColumnFormula>
    </tableColumn>
    <tableColumn id="60" xr3:uid="{932D1ADC-0796-463B-8F0B-EAE7022F87DE}" name="AUG" dataDxfId="25" dataCellStyle="Normal 2"/>
    <tableColumn id="61" xr3:uid="{A2A25642-1820-4429-874F-31F4EF4238E7}" name="SEP" dataDxfId="24" dataCellStyle="Normal 2"/>
    <tableColumn id="62" xr3:uid="{1FBE6E4F-64E0-4BCD-8A92-F759AE6C8D7B}" name="OCT" dataDxfId="23" dataCellStyle="Normal 2"/>
    <tableColumn id="63" xr3:uid="{3C997659-FAC6-41C0-92E3-40DFCA2FFB96}" name="NOV" dataDxfId="22" dataCellStyle="Normal 2"/>
    <tableColumn id="64" xr3:uid="{2B9DA0C1-FD37-48E8-AE70-743C8EFBE342}" name="DEC" dataDxfId="21" dataCellStyle="Normal 2"/>
    <tableColumn id="65" xr3:uid="{53AE6327-B213-4EB2-85DB-D9FD4F84A71C}" name="JAN" dataDxfId="20" dataCellStyle="Normal 2"/>
    <tableColumn id="66" xr3:uid="{5AC2F8AC-8F29-4B6C-8E07-3F60EF530624}" name="FEB" dataDxfId="19" dataCellStyle="Normal 2"/>
    <tableColumn id="67" xr3:uid="{82CB6F73-68E2-4794-A728-185AE5A444BB}" name="MAR" dataDxfId="18" dataCellStyle="Normal 2"/>
    <tableColumn id="68" xr3:uid="{6AFEB2BC-68EE-44B7-ADA8-916CB40BA165}" name="APR" dataDxfId="17" dataCellStyle="Normal 2"/>
    <tableColumn id="69" xr3:uid="{9021D14E-4ABA-4056-B2A4-3DF3DC8CC213}" name="MAY" dataDxfId="16" dataCellStyle="Normal 2"/>
    <tableColumn id="70" xr3:uid="{557033C4-A203-4647-97D7-4CF0762518A9}" name="JUN" dataDxfId="15" dataCellStyle="Normal 2"/>
  </tableColumns>
  <tableStyleInfo name="style_learners_information" showFirstColumn="0" showLastColumn="0" showRowStripes="1" showColumnStripes="0"/>
  <extLst>
    <ext xmlns:x14="http://schemas.microsoft.com/office/spreadsheetml/2009/9/main" uri="{504A1905-F514-4f6f-8877-14C23A59335A}">
      <x14:table altTextSummary="Employee phone list with Last Name, First Name, Spouse or Kids, Address, Home, Work, Cell phone numbers, and Email addres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99FFF9-55AB-447B-A2B2-2F4671BB02F2}" name="tbl_first_sem_list_of_subjects" displayName="tbl_first_sem_list_of_subjects" ref="L3:W13" totalsRowShown="0">
  <autoFilter ref="L3:W13" xr:uid="{BF99FFF9-55AB-447B-A2B2-2F4671BB02F2}"/>
  <tableColumns count="12">
    <tableColumn id="1" xr3:uid="{5B20B3F5-4460-4923-A828-76AF132C784A}" name="Sort Order" dataDxfId="14"/>
    <tableColumn id="2" xr3:uid="{CAB66FE1-9A65-4CD3-AC3E-CEE94CE718E5}" name="First Semester Subjects" dataDxfId="13">
      <calculatedColumnFormula array="1">IFERROR(INDEX(tbl_subjects[SUBJECTS],MATCH("FIRST"&amp;tbl_first_sem_list_of_subjects[[#This Row],[Sort Order]],tbl_subjects[SEMESTER]&amp;tbl_subjects[SORT ORDER],0),1),"")</calculatedColumnFormula>
    </tableColumn>
    <tableColumn id="3" xr3:uid="{8E988DA0-4D1F-4A5F-86CE-C26219CD3419}" name="Subject Category " dataDxfId="12">
      <calculatedColumnFormula>IFERROR(INDEX(tbl_subjects[SUBJECT CATEGORY],MATCH(tbl_first_sem_list_of_subjects[[#This Row],[First Semester Subjects]],tbl_subjects[SUBJECTS],0),1),"")</calculatedColumnFormula>
    </tableColumn>
    <tableColumn id="4" xr3:uid="{85EDEA23-0D8E-4A41-88EB-5F47211AA0D3}" name="Qtr 1 Grades" dataDxfId="11"/>
    <tableColumn id="5" xr3:uid="{07D3ABEB-8A3F-4546-9F13-D6CAC8FAEE6D}" name="Qtr 2 Grades" dataDxfId="10"/>
    <tableColumn id="8" xr3:uid="{F92BA591-E176-4FC6-8217-6B2940F85C00}" name="Qtr 1 final grade" dataDxfId="9">
      <calculatedColumnFormula>IF(OR(tbl_first_sem_list_of_subjects[[#This Row],[Qtr 1 Grades]]=0,tbl_first_sem_list_of_subjects[[#This Row],[Qtr 1 Grades]]="",tbl_first_sem_list_of_subjects[[#This Row],[Qtr 1 Grades]]="no_grade",tbl_first_sem_list_of_subjects[[#This Row],[Qtr 1 Grades]]="sub_taken"),0,tbl_first_sem_list_of_subjects[[#This Row],[Qtr 1 Grades]])</calculatedColumnFormula>
    </tableColumn>
    <tableColumn id="9" xr3:uid="{8397CB82-4B87-4F2D-AEEA-5D081CC51E90}" name="Qtr 2 final grade" dataDxfId="8">
      <calculatedColumnFormula>IF(OR(tbl_first_sem_list_of_subjects[[#This Row],[Qtr 2 Grades]]=0,tbl_first_sem_list_of_subjects[[#This Row],[Qtr 2 Grades]]="",tbl_first_sem_list_of_subjects[[#This Row],[Qtr 2 Grades]]="no_grade",tbl_first_sem_list_of_subjects[[#This Row],[Qtr 2 Grades]]="sub_taken"),0,tbl_first_sem_list_of_subjects[[#This Row],[Qtr 2 Grades]])</calculatedColumnFormula>
    </tableColumn>
    <tableColumn id="6" xr3:uid="{32C65359-B402-4CE0-98A8-D36C0C2D817D}" name="Qtr 1 Remarks">
      <calculatedColumnFormula>IF(tbl_first_sem_list_of_subjects[[#This Row],[Qtr 1 Grades]]="sub_taken","completed",
IF(tbl_first_sem_list_of_subjects[[#This Row],[Subject Category ]]&lt;&gt;"","on-going","")
)</calculatedColumnFormula>
    </tableColumn>
    <tableColumn id="11" xr3:uid="{3D0E5CA3-60D5-452F-9320-EAEF2CBBD689}" name="Qtr 2 Remarks">
      <calculatedColumnFormula>IF(tbl_first_sem_list_of_subjects[[#This Row],[Qtr 2 Grades]]="sub_taken","completed",
IF(tbl_first_sem_list_of_subjects[[#This Row],[Subject Category ]]&lt;&gt;"","on-going","")
)</calculatedColumnFormula>
    </tableColumn>
    <tableColumn id="7" xr3:uid="{A8BC857E-FFD9-4927-9C93-EB9D8199FA49}" name="lookup_code" dataDxfId="7">
      <calculatedColumnFormula>IF(AND(tbl_first_sem_list_of_subjects[[#This Row],[Qtr 1 Remarks]]="on-going",tbl_first_sem_list_of_subjects[[#This Row],[Qtr 2 Remarks]]="on-going"),"ISTAKEN"&amp;tbl_first_sem_list_of_subjects[[#This Row],[Subject Category ]],"")</calculatedColumnFormula>
    </tableColumn>
    <tableColumn id="10" xr3:uid="{8F27BBD7-387B-4EF5-B189-66CEB077846C}" name="Sem1 Final Grades" dataDxfId="6">
      <calculatedColumnFormula>IF(AND(tbl_first_sem_list_of_subjects[[#This Row],[Qtr 1 final grade]]&gt;50,tbl_first_sem_list_of_subjects[[#This Row],[Qtr 2 final grade]]&gt;50),ROUND(AVERAGE(tbl_first_sem_list_of_subjects[[#This Row],[Qtr 1 final grade]:[Qtr 2 final grade]]),0),0)</calculatedColumnFormula>
    </tableColumn>
    <tableColumn id="12" xr3:uid="{6D46429E-1326-4189-9BD2-AA6FDD3EA03A}" name="REMARKS">
      <calculatedColumnFormula>IF(tbl_first_sem_list_of_subjects[[#This Row],[Sem1 Final Grades]]&gt;=75,"PASSED",IF(tbl_first_sem_list_of_subjects[[#This Row],[Sem1 Final Grades]]&lt;&gt;0,"FAILED",""))</calculatedColumnFormula>
    </tableColumn>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91571C-B946-42A6-A201-384D4808577A}" name="tbl_second_sem_list_of_subjects" displayName="tbl_second_sem_list_of_subjects" ref="L24:W34" totalsRowShown="0">
  <autoFilter ref="L24:W34" xr:uid="{2591571C-B946-42A6-A201-384D4808577A}"/>
  <tableColumns count="12">
    <tableColumn id="1" xr3:uid="{808CDAAC-9113-483A-AD7B-2C370BD4E4C7}" name="Sort Order"/>
    <tableColumn id="2" xr3:uid="{7129F38A-2DBB-4924-9FB1-BCCEAFB21779}" name="Second Semester Subjects">
      <calculatedColumnFormula array="1">IFERROR(INDEX(tbl_subjects[SUBJECTS],MATCH("SECOND"&amp;tbl_second_sem_list_of_subjects[[#This Row],[Sort Order]],tbl_subjects[SEMESTER]&amp;tbl_subjects[SORT ORDER],0),1),"")</calculatedColumnFormula>
    </tableColumn>
    <tableColumn id="3" xr3:uid="{C19B4368-2CED-411C-BA11-5CFEEFCDCDF2}" name="Subject Category ">
      <calculatedColumnFormula>IFERROR(INDEX(tbl_subjects[SUBJECT CATEGORY],MATCH(tbl_second_sem_list_of_subjects[[#This Row],[Second Semester Subjects]],tbl_subjects[SUBJECTS],0),1),"")</calculatedColumnFormula>
    </tableColumn>
    <tableColumn id="4" xr3:uid="{D6B801CA-154E-4220-B920-B93A6D2850F2}" name="Qtr 3 Grades" dataDxfId="5"/>
    <tableColumn id="5" xr3:uid="{0330E362-763E-44C9-B77F-3B6A223A8DB1}" name="Qtr 4 Grades" dataDxfId="4"/>
    <tableColumn id="6" xr3:uid="{4053B602-3E16-4D91-B5EF-A9B23A2D9A58}" name="Qtr 3 final grade" dataDxfId="3">
      <calculatedColumnFormula>IF(OR(tbl_second_sem_list_of_subjects[[#This Row],[Qtr 3 Grades]]=0,tbl_second_sem_list_of_subjects[[#This Row],[Qtr 3 Grades]]="",tbl_second_sem_list_of_subjects[[#This Row],[Qtr 3 Grades]]="no_grade",tbl_second_sem_list_of_subjects[[#This Row],[Qtr 3 Grades]]="sub_taken"),0,tbl_second_sem_list_of_subjects[[#This Row],[Qtr 3 Grades]])</calculatedColumnFormula>
    </tableColumn>
    <tableColumn id="7" xr3:uid="{DFCCBE74-69C4-4A3C-8863-F44ED73EF8A9}" name="Qtr 4 final grade" dataDxfId="2">
      <calculatedColumnFormula>IF(OR(tbl_second_sem_list_of_subjects[[#This Row],[Qtr 4 Grades]]=0,tbl_second_sem_list_of_subjects[[#This Row],[Qtr 4 Grades]]="",tbl_second_sem_list_of_subjects[[#This Row],[Qtr 4 Grades]]="no_grade",tbl_second_sem_list_of_subjects[[#This Row],[Qtr 4 Grades]]="sub_taken"),0,tbl_second_sem_list_of_subjects[[#This Row],[Qtr 4 Grades]])</calculatedColumnFormula>
    </tableColumn>
    <tableColumn id="8" xr3:uid="{4B292648-CEC0-4DB8-ABE8-619082B24269}" name="Qtr 3 Remarks">
      <calculatedColumnFormula>IF(tbl_second_sem_list_of_subjects[[#This Row],[Qtr 3 Grades]]="sub_taken","completed",
IF(tbl_second_sem_list_of_subjects[[#This Row],[Subject Category ]]&lt;&gt;"","on-going","")
)</calculatedColumnFormula>
    </tableColumn>
    <tableColumn id="9" xr3:uid="{E72937DD-204B-437C-B82C-F5F54530B7F7}" name="Qtr 4 Remarks">
      <calculatedColumnFormula>IF(tbl_second_sem_list_of_subjects[[#This Row],[Qtr 4 Grades]]="sub_taken","completed",
IF(tbl_second_sem_list_of_subjects[[#This Row],[Subject Category ]]&lt;&gt;"","on-going","")
)</calculatedColumnFormula>
    </tableColumn>
    <tableColumn id="10" xr3:uid="{A691D221-4358-4C21-A349-2093954CF861}" name="lookup_code" dataDxfId="1">
      <calculatedColumnFormula>IF(AND(tbl_second_sem_list_of_subjects[[#This Row],[Qtr 3 Remarks]]="on-going",tbl_second_sem_list_of_subjects[[#This Row],[Qtr 4 Remarks]]="on-going"),"ISTAKEN"&amp;tbl_second_sem_list_of_subjects[[#This Row],[Subject Category ]],"")</calculatedColumnFormula>
    </tableColumn>
    <tableColumn id="11" xr3:uid="{6040465F-F683-4B02-9DF1-102F0F991311}" name="Sem2 Final Grades" dataDxfId="0"/>
    <tableColumn id="12" xr3:uid="{47E4CA15-919A-44B7-8234-76377682A32A}" name="REMARKS">
      <calculatedColumnFormula>IF(tbl_second_sem_list_of_subjects[[#This Row],[Sem2 Final Grades]]&gt;=75,"PASSED",IF(tbl_second_sem_list_of_subjects[[#This Row],[Sem2 Final Grades]]&lt;&gt;0,"FAILED",""))</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28" dT="2023-08-29T03:10:53.98" personId="{49F8383B-9F82-402C-B102-4A7C07E74356}" id="{1773B4AA-3892-4808-8977-6036DA0A2ED8}">
    <text>TRANSFEREE</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278CB-E541-4B22-8F72-CE51A828B4B7}">
  <sheetPr codeName="Sheet1">
    <tabColor rgb="FFFF6565"/>
    <pageSetUpPr fitToPage="1"/>
  </sheetPr>
  <dimension ref="A1:I58"/>
  <sheetViews>
    <sheetView showGridLines="0" zoomScale="70" zoomScaleNormal="70" workbookViewId="0">
      <selection activeCell="G7" sqref="G7"/>
    </sheetView>
  </sheetViews>
  <sheetFormatPr defaultColWidth="8.88671875" defaultRowHeight="19.05" customHeight="1" x14ac:dyDescent="0.3"/>
  <cols>
    <col min="1" max="1" width="39.6640625" style="68" customWidth="1"/>
    <col min="2" max="2" width="3" style="68" customWidth="1"/>
    <col min="3" max="3" width="16.77734375" style="67" bestFit="1" customWidth="1"/>
    <col min="4" max="4" width="43.44140625" style="67" customWidth="1"/>
    <col min="5" max="5" width="8.88671875" style="68" customWidth="1"/>
    <col min="6" max="6" width="24.109375" style="68" bestFit="1" customWidth="1"/>
    <col min="7" max="7" width="80.6640625" style="68" customWidth="1"/>
    <col min="8" max="8" width="17.44140625" style="69" bestFit="1" customWidth="1"/>
    <col min="9" max="9" width="15.33203125" bestFit="1" customWidth="1"/>
    <col min="10" max="15" width="8.88671875" style="12"/>
    <col min="16" max="73" width="0" style="12" hidden="1" customWidth="1"/>
    <col min="74" max="16384" width="8.88671875" style="12"/>
  </cols>
  <sheetData>
    <row r="1" spans="1:9" ht="15" customHeight="1" x14ac:dyDescent="0.3"/>
    <row r="2" spans="1:9" s="77" customFormat="1" ht="30.6" customHeight="1" thickBot="1" x14ac:dyDescent="0.5">
      <c r="A2" s="76"/>
      <c r="B2" s="76"/>
      <c r="C2" s="167" t="s">
        <v>125</v>
      </c>
      <c r="D2" s="167"/>
      <c r="E2" s="167"/>
      <c r="F2" s="153"/>
      <c r="G2" s="153"/>
      <c r="H2" s="153"/>
      <c r="I2" s="153"/>
    </row>
    <row r="3" spans="1:9" ht="46.2" customHeight="1" thickTop="1" x14ac:dyDescent="0.3">
      <c r="C3" s="154"/>
      <c r="D3" s="154"/>
      <c r="E3" s="155"/>
      <c r="F3" s="155"/>
      <c r="G3" s="155"/>
      <c r="H3" s="156"/>
      <c r="I3" s="157"/>
    </row>
    <row r="4" spans="1:9" s="79" customFormat="1" ht="27.6" customHeight="1" x14ac:dyDescent="0.3">
      <c r="A4" s="78"/>
      <c r="B4" s="78"/>
      <c r="C4" s="146" t="s">
        <v>73</v>
      </c>
      <c r="D4" s="146" t="s">
        <v>74</v>
      </c>
      <c r="E4" s="158"/>
      <c r="F4" s="147" t="s">
        <v>75</v>
      </c>
      <c r="G4" s="147" t="s">
        <v>60</v>
      </c>
      <c r="H4" s="147" t="s">
        <v>158</v>
      </c>
      <c r="I4" s="147" t="s">
        <v>100</v>
      </c>
    </row>
    <row r="5" spans="1:9" ht="21" customHeight="1" x14ac:dyDescent="0.3">
      <c r="C5" s="144" t="s">
        <v>53</v>
      </c>
      <c r="D5" s="145" t="s">
        <v>143</v>
      </c>
      <c r="E5" s="159"/>
      <c r="F5" s="141" t="s">
        <v>76</v>
      </c>
      <c r="G5" s="141" t="s">
        <v>45</v>
      </c>
      <c r="H5" s="142">
        <v>1</v>
      </c>
      <c r="I5" s="143" t="s">
        <v>148</v>
      </c>
    </row>
    <row r="6" spans="1:9" ht="21" customHeight="1" x14ac:dyDescent="0.3">
      <c r="C6" s="144" t="s">
        <v>52</v>
      </c>
      <c r="D6" s="145">
        <v>315407</v>
      </c>
      <c r="E6" s="159"/>
      <c r="F6" s="161" t="s">
        <v>76</v>
      </c>
      <c r="G6" s="162" t="s">
        <v>46</v>
      </c>
      <c r="H6" s="163">
        <v>2</v>
      </c>
      <c r="I6" s="164" t="s">
        <v>148</v>
      </c>
    </row>
    <row r="7" spans="1:9" ht="21" customHeight="1" x14ac:dyDescent="0.3">
      <c r="C7" s="144" t="s">
        <v>54</v>
      </c>
      <c r="D7" s="165">
        <v>12</v>
      </c>
      <c r="E7" s="159"/>
      <c r="F7" s="161" t="s">
        <v>76</v>
      </c>
      <c r="G7" s="162" t="s">
        <v>130</v>
      </c>
      <c r="H7" s="163">
        <v>3</v>
      </c>
      <c r="I7" s="164" t="s">
        <v>148</v>
      </c>
    </row>
    <row r="8" spans="1:9" ht="21" customHeight="1" x14ac:dyDescent="0.3">
      <c r="C8" s="144" t="s">
        <v>41</v>
      </c>
      <c r="D8" s="165" t="s">
        <v>144</v>
      </c>
      <c r="E8" s="159"/>
      <c r="F8" s="161" t="s">
        <v>77</v>
      </c>
      <c r="G8" s="162" t="s">
        <v>47</v>
      </c>
      <c r="H8" s="163">
        <v>4</v>
      </c>
      <c r="I8" s="164" t="s">
        <v>148</v>
      </c>
    </row>
    <row r="9" spans="1:9" ht="21" customHeight="1" x14ac:dyDescent="0.3">
      <c r="C9" s="144" t="s">
        <v>15</v>
      </c>
      <c r="D9" s="165" t="s">
        <v>194</v>
      </c>
      <c r="E9" s="159"/>
      <c r="F9" s="161" t="s">
        <v>77</v>
      </c>
      <c r="G9" s="162" t="s">
        <v>50</v>
      </c>
      <c r="H9" s="163">
        <v>5</v>
      </c>
      <c r="I9" s="164" t="s">
        <v>148</v>
      </c>
    </row>
    <row r="10" spans="1:9" ht="21" customHeight="1" x14ac:dyDescent="0.3">
      <c r="C10" s="144" t="s">
        <v>14</v>
      </c>
      <c r="D10" s="165" t="s">
        <v>131</v>
      </c>
      <c r="E10" s="159"/>
      <c r="F10" s="161" t="s">
        <v>78</v>
      </c>
      <c r="G10" s="162" t="s">
        <v>131</v>
      </c>
      <c r="H10" s="163">
        <v>6</v>
      </c>
      <c r="I10" s="164" t="s">
        <v>148</v>
      </c>
    </row>
    <row r="11" spans="1:9" ht="21" customHeight="1" x14ac:dyDescent="0.3">
      <c r="C11" s="144" t="s">
        <v>13</v>
      </c>
      <c r="D11" s="165" t="s">
        <v>145</v>
      </c>
      <c r="E11" s="159"/>
      <c r="F11" s="161" t="s">
        <v>76</v>
      </c>
      <c r="G11" s="162" t="s">
        <v>43</v>
      </c>
      <c r="H11" s="163">
        <v>1</v>
      </c>
      <c r="I11" s="164" t="s">
        <v>160</v>
      </c>
    </row>
    <row r="12" spans="1:9" ht="21" customHeight="1" x14ac:dyDescent="0.3">
      <c r="C12" s="144" t="s">
        <v>12</v>
      </c>
      <c r="D12" s="165" t="s">
        <v>195</v>
      </c>
      <c r="E12" s="159"/>
      <c r="F12" s="161" t="s">
        <v>76</v>
      </c>
      <c r="G12" s="162" t="s">
        <v>161</v>
      </c>
      <c r="H12" s="163">
        <v>2</v>
      </c>
      <c r="I12" s="164" t="s">
        <v>160</v>
      </c>
    </row>
    <row r="13" spans="1:9" ht="21" customHeight="1" x14ac:dyDescent="0.3">
      <c r="C13" s="144" t="s">
        <v>16</v>
      </c>
      <c r="D13" s="165" t="s">
        <v>199</v>
      </c>
      <c r="E13" s="159"/>
      <c r="F13" s="161" t="s">
        <v>76</v>
      </c>
      <c r="G13" s="162" t="s">
        <v>44</v>
      </c>
      <c r="H13" s="163">
        <v>3</v>
      </c>
      <c r="I13" s="164" t="s">
        <v>160</v>
      </c>
    </row>
    <row r="14" spans="1:9" ht="21" customHeight="1" x14ac:dyDescent="0.3">
      <c r="C14" s="160"/>
      <c r="D14" s="160"/>
      <c r="E14" s="159"/>
      <c r="F14" s="161" t="s">
        <v>76</v>
      </c>
      <c r="G14" s="162" t="s">
        <v>159</v>
      </c>
      <c r="H14" s="163">
        <v>4</v>
      </c>
      <c r="I14" s="164" t="s">
        <v>160</v>
      </c>
    </row>
    <row r="15" spans="1:9" ht="21" customHeight="1" x14ac:dyDescent="0.3">
      <c r="C15" s="160"/>
      <c r="D15" s="160"/>
      <c r="E15" s="159"/>
      <c r="F15" s="161" t="s">
        <v>77</v>
      </c>
      <c r="G15" s="162" t="s">
        <v>48</v>
      </c>
      <c r="H15" s="163">
        <v>5</v>
      </c>
      <c r="I15" s="164" t="s">
        <v>160</v>
      </c>
    </row>
    <row r="16" spans="1:9" ht="21" customHeight="1" x14ac:dyDescent="0.3">
      <c r="C16" s="160"/>
      <c r="D16" s="160"/>
      <c r="E16" s="159"/>
      <c r="F16" s="161" t="s">
        <v>78</v>
      </c>
      <c r="G16" s="162" t="s">
        <v>49</v>
      </c>
      <c r="H16" s="163">
        <v>6</v>
      </c>
      <c r="I16" s="164" t="s">
        <v>160</v>
      </c>
    </row>
    <row r="17" spans="3:9" ht="21" customHeight="1" x14ac:dyDescent="0.3">
      <c r="C17" s="160"/>
      <c r="D17" s="160"/>
      <c r="E17" s="159"/>
      <c r="F17" s="141" t="s">
        <v>78</v>
      </c>
      <c r="G17" s="141" t="s">
        <v>198</v>
      </c>
      <c r="H17" s="142">
        <v>7</v>
      </c>
      <c r="I17" s="143" t="s">
        <v>160</v>
      </c>
    </row>
    <row r="18" spans="3:9" ht="21" customHeight="1" x14ac:dyDescent="0.3">
      <c r="C18" s="160"/>
      <c r="D18" s="160"/>
      <c r="E18" s="159"/>
      <c r="F18" s="161"/>
      <c r="G18" s="162"/>
      <c r="H18" s="163"/>
      <c r="I18" s="164"/>
    </row>
    <row r="19" spans="3:9" ht="21" customHeight="1" x14ac:dyDescent="0.3">
      <c r="C19" s="160"/>
      <c r="D19" s="160"/>
      <c r="E19" s="159"/>
      <c r="F19" s="161"/>
      <c r="G19" s="162"/>
      <c r="H19" s="163"/>
      <c r="I19" s="164"/>
    </row>
    <row r="20" spans="3:9" ht="21" customHeight="1" x14ac:dyDescent="0.3">
      <c r="C20" s="160"/>
      <c r="D20" s="160"/>
      <c r="E20" s="159"/>
      <c r="F20" s="161"/>
      <c r="G20" s="162"/>
      <c r="H20" s="163"/>
      <c r="I20" s="164"/>
    </row>
    <row r="21" spans="3:9" ht="21" customHeight="1" x14ac:dyDescent="0.3">
      <c r="C21" s="160"/>
      <c r="D21" s="160"/>
      <c r="E21" s="159"/>
      <c r="F21" s="161"/>
      <c r="G21" s="162"/>
      <c r="H21" s="163"/>
      <c r="I21" s="164"/>
    </row>
    <row r="22" spans="3:9" ht="21" customHeight="1" x14ac:dyDescent="0.3">
      <c r="C22" s="160"/>
      <c r="D22" s="160"/>
      <c r="E22" s="159"/>
      <c r="F22" s="161"/>
      <c r="G22" s="162"/>
      <c r="H22" s="163"/>
      <c r="I22" s="164"/>
    </row>
    <row r="23" spans="3:9" ht="21" customHeight="1" x14ac:dyDescent="0.3">
      <c r="C23" s="160"/>
      <c r="D23" s="160"/>
      <c r="E23" s="159"/>
      <c r="F23" s="161"/>
      <c r="G23" s="162"/>
      <c r="H23" s="163"/>
      <c r="I23" s="164"/>
    </row>
    <row r="24" spans="3:9" ht="21" customHeight="1" x14ac:dyDescent="0.3">
      <c r="C24" s="160"/>
      <c r="D24" s="160"/>
      <c r="E24" s="159"/>
      <c r="F24" s="161"/>
      <c r="G24" s="162"/>
      <c r="H24" s="163"/>
      <c r="I24" s="164"/>
    </row>
    <row r="25" spans="3:9" ht="21" customHeight="1" x14ac:dyDescent="0.3">
      <c r="C25" s="160"/>
      <c r="D25" s="160"/>
      <c r="E25" s="159"/>
      <c r="F25" s="161"/>
      <c r="G25" s="162"/>
      <c r="H25" s="163"/>
      <c r="I25" s="164"/>
    </row>
    <row r="26" spans="3:9" ht="21" customHeight="1" x14ac:dyDescent="0.3">
      <c r="C26" s="160"/>
      <c r="D26" s="160"/>
      <c r="E26" s="159"/>
      <c r="F26" s="161"/>
      <c r="G26" s="162"/>
      <c r="H26" s="163"/>
      <c r="I26" s="164"/>
    </row>
    <row r="27" spans="3:9" ht="21" customHeight="1" x14ac:dyDescent="0.3">
      <c r="C27" s="160"/>
      <c r="D27" s="160"/>
      <c r="E27" s="159"/>
      <c r="F27" s="161"/>
      <c r="G27" s="162"/>
      <c r="H27" s="163"/>
      <c r="I27" s="164"/>
    </row>
    <row r="28" spans="3:9" ht="21" customHeight="1" x14ac:dyDescent="0.3">
      <c r="C28" s="160"/>
      <c r="D28" s="160"/>
      <c r="E28" s="159"/>
      <c r="F28" s="161"/>
      <c r="G28" s="162"/>
      <c r="H28" s="163"/>
      <c r="I28" s="164"/>
    </row>
    <row r="29" spans="3:9" ht="21" customHeight="1" x14ac:dyDescent="0.3">
      <c r="C29" s="160"/>
      <c r="D29" s="160"/>
      <c r="E29" s="159"/>
      <c r="F29" s="141"/>
      <c r="G29" s="141"/>
      <c r="H29" s="142"/>
      <c r="I29" s="143"/>
    </row>
    <row r="30" spans="3:9" ht="21" customHeight="1" x14ac:dyDescent="0.3">
      <c r="C30" s="160"/>
      <c r="D30" s="160"/>
      <c r="E30" s="159"/>
      <c r="F30" s="161"/>
      <c r="G30" s="162"/>
      <c r="H30" s="163"/>
      <c r="I30" s="164"/>
    </row>
    <row r="31" spans="3:9" ht="21" customHeight="1" x14ac:dyDescent="0.3">
      <c r="C31" s="160"/>
      <c r="D31" s="160"/>
      <c r="E31" s="159"/>
      <c r="F31" s="161"/>
      <c r="G31" s="162"/>
      <c r="H31" s="163"/>
      <c r="I31" s="164"/>
    </row>
    <row r="32" spans="3:9" ht="21" customHeight="1" x14ac:dyDescent="0.3">
      <c r="C32" s="160"/>
      <c r="D32" s="160"/>
      <c r="E32" s="159"/>
      <c r="F32" s="161"/>
      <c r="G32" s="162"/>
      <c r="H32" s="163"/>
      <c r="I32" s="164"/>
    </row>
    <row r="33" spans="3:9" ht="21" customHeight="1" x14ac:dyDescent="0.3">
      <c r="C33" s="160"/>
      <c r="D33" s="160"/>
      <c r="E33" s="159"/>
      <c r="F33" s="161"/>
      <c r="G33" s="162"/>
      <c r="H33" s="163"/>
      <c r="I33" s="164"/>
    </row>
    <row r="34" spans="3:9" ht="21" customHeight="1" x14ac:dyDescent="0.3">
      <c r="C34" s="160"/>
      <c r="D34" s="160"/>
      <c r="E34" s="159"/>
      <c r="F34" s="161"/>
      <c r="G34" s="162"/>
      <c r="H34" s="163"/>
      <c r="I34" s="164"/>
    </row>
    <row r="35" spans="3:9" ht="21" customHeight="1" x14ac:dyDescent="0.3">
      <c r="C35" s="160"/>
      <c r="D35" s="160"/>
      <c r="E35" s="159"/>
      <c r="F35" s="161"/>
      <c r="G35" s="162"/>
      <c r="H35" s="163"/>
      <c r="I35" s="164"/>
    </row>
    <row r="36" spans="3:9" ht="21" customHeight="1" x14ac:dyDescent="0.3">
      <c r="C36" s="160"/>
      <c r="D36" s="160"/>
      <c r="E36" s="159"/>
      <c r="F36" s="161"/>
      <c r="G36" s="162"/>
      <c r="H36" s="163"/>
      <c r="I36" s="164"/>
    </row>
    <row r="37" spans="3:9" ht="21" customHeight="1" x14ac:dyDescent="0.3">
      <c r="C37" s="160"/>
      <c r="D37" s="160"/>
      <c r="E37" s="159"/>
      <c r="F37" s="161"/>
      <c r="G37" s="162"/>
      <c r="H37" s="163"/>
      <c r="I37" s="164"/>
    </row>
    <row r="38" spans="3:9" ht="21" customHeight="1" x14ac:dyDescent="0.3">
      <c r="C38" s="160"/>
      <c r="D38" s="160"/>
      <c r="E38" s="159"/>
      <c r="F38" s="161"/>
      <c r="G38" s="162"/>
      <c r="H38" s="163"/>
      <c r="I38" s="164"/>
    </row>
    <row r="39" spans="3:9" ht="21" customHeight="1" x14ac:dyDescent="0.3">
      <c r="C39" s="160"/>
      <c r="D39" s="160"/>
      <c r="E39" s="159"/>
      <c r="F39" s="161"/>
      <c r="G39" s="162"/>
      <c r="H39" s="163"/>
      <c r="I39" s="164"/>
    </row>
    <row r="40" spans="3:9" ht="21" customHeight="1" x14ac:dyDescent="0.3">
      <c r="C40" s="160"/>
      <c r="D40" s="160"/>
      <c r="E40" s="159"/>
      <c r="F40" s="161"/>
      <c r="G40" s="162"/>
      <c r="H40" s="163"/>
      <c r="I40" s="164"/>
    </row>
    <row r="41" spans="3:9" ht="21" customHeight="1" x14ac:dyDescent="0.3">
      <c r="C41" s="160"/>
      <c r="D41" s="160"/>
      <c r="E41" s="159"/>
      <c r="F41" s="141"/>
      <c r="G41" s="141"/>
      <c r="H41" s="142"/>
      <c r="I41" s="143"/>
    </row>
    <row r="42" spans="3:9" ht="21" customHeight="1" x14ac:dyDescent="0.3">
      <c r="C42" s="160"/>
      <c r="D42" s="160"/>
      <c r="E42" s="159"/>
      <c r="F42" s="161"/>
      <c r="G42" s="162"/>
      <c r="H42" s="163"/>
      <c r="I42" s="164"/>
    </row>
    <row r="43" spans="3:9" ht="21" customHeight="1" x14ac:dyDescent="0.3">
      <c r="C43" s="160"/>
      <c r="D43" s="160"/>
      <c r="E43" s="159"/>
      <c r="F43" s="161"/>
      <c r="G43" s="162"/>
      <c r="H43" s="163"/>
      <c r="I43" s="164"/>
    </row>
    <row r="44" spans="3:9" ht="21" customHeight="1" x14ac:dyDescent="0.3">
      <c r="C44" s="160"/>
      <c r="D44" s="160"/>
      <c r="E44" s="159"/>
      <c r="F44" s="161"/>
      <c r="G44" s="162"/>
      <c r="H44" s="163"/>
      <c r="I44" s="164"/>
    </row>
    <row r="45" spans="3:9" ht="21" customHeight="1" x14ac:dyDescent="0.3">
      <c r="C45" s="160"/>
      <c r="D45" s="160"/>
      <c r="E45" s="159"/>
      <c r="F45" s="141"/>
      <c r="G45" s="141"/>
      <c r="H45" s="142"/>
      <c r="I45" s="143"/>
    </row>
    <row r="46" spans="3:9" ht="21" customHeight="1" x14ac:dyDescent="0.3">
      <c r="C46" s="160"/>
      <c r="D46" s="160"/>
      <c r="E46" s="159"/>
      <c r="F46" s="161"/>
      <c r="G46" s="162"/>
      <c r="H46" s="163"/>
      <c r="I46" s="164"/>
    </row>
    <row r="47" spans="3:9" ht="21" customHeight="1" x14ac:dyDescent="0.3">
      <c r="C47" s="160"/>
      <c r="D47" s="160"/>
      <c r="E47" s="159"/>
      <c r="F47" s="161"/>
      <c r="G47" s="162"/>
      <c r="H47" s="163"/>
      <c r="I47" s="164"/>
    </row>
    <row r="48" spans="3:9" ht="21" customHeight="1" x14ac:dyDescent="0.3">
      <c r="C48" s="160"/>
      <c r="D48" s="160"/>
      <c r="E48" s="159"/>
      <c r="F48" s="161"/>
      <c r="G48" s="162"/>
      <c r="H48" s="163"/>
      <c r="I48" s="164"/>
    </row>
    <row r="49" spans="3:9" ht="21" customHeight="1" x14ac:dyDescent="0.3">
      <c r="C49" s="160"/>
      <c r="D49" s="160"/>
      <c r="E49" s="159"/>
      <c r="F49" s="141"/>
      <c r="G49" s="141"/>
      <c r="H49" s="142"/>
      <c r="I49" s="143"/>
    </row>
    <row r="50" spans="3:9" ht="21" customHeight="1" x14ac:dyDescent="0.3">
      <c r="C50" s="160"/>
      <c r="D50" s="160"/>
      <c r="E50" s="159"/>
      <c r="F50" s="161"/>
      <c r="G50" s="162"/>
      <c r="H50" s="163"/>
      <c r="I50" s="164"/>
    </row>
    <row r="51" spans="3:9" ht="21" customHeight="1" x14ac:dyDescent="0.3">
      <c r="C51" s="160"/>
      <c r="D51" s="160"/>
      <c r="E51" s="159"/>
      <c r="F51" s="161"/>
      <c r="G51" s="162"/>
      <c r="H51" s="163"/>
      <c r="I51" s="164"/>
    </row>
    <row r="52" spans="3:9" ht="21" customHeight="1" x14ac:dyDescent="0.3">
      <c r="C52" s="160"/>
      <c r="D52" s="160"/>
      <c r="E52" s="159"/>
      <c r="F52" s="161"/>
      <c r="G52" s="162"/>
      <c r="H52" s="163"/>
      <c r="I52" s="164"/>
    </row>
    <row r="53" spans="3:9" ht="21" customHeight="1" x14ac:dyDescent="0.3">
      <c r="C53" s="160"/>
      <c r="D53" s="160"/>
      <c r="E53" s="159"/>
      <c r="F53" s="141"/>
      <c r="G53" s="141"/>
      <c r="H53" s="142"/>
      <c r="I53" s="143"/>
    </row>
    <row r="54" spans="3:9" ht="21" customHeight="1" x14ac:dyDescent="0.3">
      <c r="C54" s="160"/>
      <c r="D54" s="160"/>
      <c r="E54" s="159"/>
      <c r="F54" s="161"/>
      <c r="G54" s="162"/>
      <c r="H54" s="163"/>
      <c r="I54" s="164"/>
    </row>
    <row r="55" spans="3:9" ht="21" customHeight="1" x14ac:dyDescent="0.3">
      <c r="C55" s="160"/>
      <c r="D55" s="160"/>
      <c r="E55" s="159"/>
      <c r="F55" s="161"/>
      <c r="G55" s="162"/>
      <c r="H55" s="163"/>
      <c r="I55" s="164"/>
    </row>
    <row r="56" spans="3:9" ht="21" customHeight="1" x14ac:dyDescent="0.3">
      <c r="C56" s="160"/>
      <c r="D56" s="160"/>
      <c r="E56" s="159"/>
      <c r="F56" s="161"/>
      <c r="G56" s="162"/>
      <c r="H56" s="163"/>
      <c r="I56" s="164"/>
    </row>
    <row r="57" spans="3:9" ht="19.05" customHeight="1" x14ac:dyDescent="0.3">
      <c r="H57" s="70"/>
      <c r="I57" s="69"/>
    </row>
    <row r="58" spans="3:9" ht="19.05" customHeight="1" x14ac:dyDescent="0.3">
      <c r="H58" s="70"/>
      <c r="I58" s="69"/>
    </row>
  </sheetData>
  <sheetProtection selectLockedCells="1"/>
  <mergeCells count="1">
    <mergeCell ref="C2:E2"/>
  </mergeCells>
  <dataValidations count="3">
    <dataValidation type="list" allowBlank="1" showInputMessage="1" showErrorMessage="1" errorTitle="Invalid Entry" error="The entered data is not valid. Please review and correct." promptTitle="SELECT FROM LIST" prompt="Please choose a value from the dropdown list." sqref="I5:I56" xr:uid="{38A02989-5FE3-4FCF-8EE7-B17C70BABF05}">
      <formula1>"FIRST,SECOND"</formula1>
    </dataValidation>
    <dataValidation type="list" allowBlank="1" showInputMessage="1" showErrorMessage="1" errorTitle="Invalid Entry" error="The entered data is not valid. Please review and correct." promptTitle="SELECT FROM LIST" prompt="Please choose a value from the dropdown list." sqref="F5:F56" xr:uid="{2B8FE7A9-7489-4285-A5DD-ECAF63195DA9}">
      <formula1>"CORE,APPLIED,SPECIALIZED"</formula1>
    </dataValidation>
    <dataValidation type="list" allowBlank="1" showInputMessage="1" showErrorMessage="1" errorTitle="Invalid Entry" error="The entered data is not valid. Please review and correct." promptTitle="SELECT FROM LIST" prompt="Please choose a value from the dropdown list." sqref="H5:H56" xr:uid="{0C9A6B69-A742-4950-9369-D1F98A00217B}">
      <formula1>"1,2,3,4,5,6,7,8,9,10,11,12"</formula1>
    </dataValidation>
  </dataValidations>
  <pageMargins left="0.7" right="0.7" top="0.75" bottom="0.75" header="0.3" footer="0.3"/>
  <pageSetup scale="36" fitToHeight="0" orientation="portrait" horizontalDpi="0" verticalDpi="0"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5D5D-260D-4B2A-B713-ECEBCEF7F769}">
  <sheetPr codeName="Sheet2">
    <tabColor rgb="FFFF6565"/>
    <pageSetUpPr fitToPage="1"/>
  </sheetPr>
  <dimension ref="A1:BU101"/>
  <sheetViews>
    <sheetView showGridLines="0" zoomScale="70" zoomScaleNormal="70" workbookViewId="0"/>
  </sheetViews>
  <sheetFormatPr defaultColWidth="10.77734375" defaultRowHeight="0" customHeight="1" zeroHeight="1" x14ac:dyDescent="0.3"/>
  <cols>
    <col min="1" max="1" width="39.6640625" style="68" customWidth="1"/>
    <col min="2" max="2" width="3" style="97" customWidth="1"/>
    <col min="3" max="3" width="26.44140625" style="1" hidden="1" customWidth="1"/>
    <col min="4" max="7" width="25" style="1" hidden="1" customWidth="1"/>
    <col min="8" max="8" width="14" style="1" hidden="1" customWidth="1"/>
    <col min="9" max="10" width="27.5546875" style="1" hidden="1" customWidth="1"/>
    <col min="11" max="11" width="33.44140625" style="1" hidden="1" customWidth="1"/>
    <col min="12" max="12" width="20.44140625" style="1" hidden="1" customWidth="1"/>
    <col min="13" max="13" width="33.33203125" style="10" hidden="1" customWidth="1"/>
    <col min="14" max="14" width="41.5546875" style="1" hidden="1" customWidth="1"/>
    <col min="15" max="15" width="44.5546875" style="72" hidden="1" customWidth="1"/>
    <col min="16" max="17" width="36.77734375" style="13" hidden="1" customWidth="1"/>
    <col min="18" max="18" width="25" style="2" hidden="1" customWidth="1"/>
    <col min="19" max="19" width="17.44140625" style="2" hidden="1" customWidth="1"/>
    <col min="20" max="20" width="41.6640625" style="2" hidden="1" customWidth="1"/>
    <col min="21" max="40" width="10.21875" style="1" hidden="1" customWidth="1"/>
    <col min="41" max="41" width="41.6640625" style="2" hidden="1" customWidth="1"/>
    <col min="42" max="61" width="10.21875" style="1" hidden="1" customWidth="1"/>
    <col min="62" max="62" width="40.6640625" style="2" customWidth="1"/>
    <col min="63" max="73" width="10.21875" style="1" customWidth="1"/>
    <col min="74" max="74" width="3" style="1" customWidth="1"/>
    <col min="75" max="16384" width="10.77734375" style="1"/>
  </cols>
  <sheetData>
    <row r="1" spans="1:73" s="97" customFormat="1" ht="15" customHeight="1" thickBot="1" x14ac:dyDescent="0.35">
      <c r="A1" s="68"/>
      <c r="F1" s="148"/>
      <c r="M1" s="98"/>
      <c r="O1" s="99"/>
      <c r="P1" s="100"/>
      <c r="Q1" s="100"/>
      <c r="R1" s="101"/>
      <c r="S1" s="101"/>
      <c r="T1" s="101"/>
      <c r="AO1" s="101"/>
      <c r="BJ1" s="101"/>
    </row>
    <row r="2" spans="1:73" s="115" customFormat="1" ht="30.6" customHeight="1" thickTop="1" thickBot="1" x14ac:dyDescent="0.55000000000000004">
      <c r="A2" s="76"/>
      <c r="C2" s="170" t="s">
        <v>193</v>
      </c>
      <c r="D2" s="170"/>
      <c r="E2" s="170"/>
      <c r="F2" s="114"/>
      <c r="G2" s="114"/>
      <c r="H2" s="114"/>
      <c r="I2" s="114"/>
      <c r="J2" s="114"/>
      <c r="K2" s="114"/>
      <c r="L2" s="114"/>
      <c r="M2" s="114"/>
      <c r="N2" s="114"/>
      <c r="O2" s="114"/>
      <c r="P2" s="114"/>
      <c r="Q2" s="114"/>
      <c r="R2" s="114"/>
      <c r="S2" s="114"/>
      <c r="T2" s="170" t="s">
        <v>103</v>
      </c>
      <c r="U2" s="170"/>
      <c r="V2" s="170"/>
      <c r="W2" s="170"/>
      <c r="X2" s="170"/>
      <c r="Y2" s="170"/>
      <c r="Z2" s="114"/>
      <c r="AA2" s="114"/>
      <c r="AB2" s="114"/>
      <c r="AC2" s="114"/>
      <c r="AD2" s="114"/>
      <c r="AE2" s="114"/>
      <c r="AF2" s="114"/>
      <c r="AG2" s="114"/>
      <c r="AH2" s="114"/>
      <c r="AI2" s="114"/>
      <c r="AJ2" s="114"/>
      <c r="AK2" s="114"/>
      <c r="AL2" s="114"/>
      <c r="AM2" s="114"/>
      <c r="AN2" s="114"/>
      <c r="AO2" s="170" t="s">
        <v>104</v>
      </c>
      <c r="AP2" s="170"/>
      <c r="AQ2" s="170"/>
      <c r="AR2" s="170"/>
      <c r="AS2" s="170"/>
      <c r="AT2" s="170"/>
      <c r="AU2" s="114"/>
      <c r="BJ2" s="171" t="s">
        <v>56</v>
      </c>
      <c r="BK2" s="172"/>
      <c r="BL2" s="172"/>
      <c r="BM2" s="152"/>
      <c r="BN2" s="152"/>
      <c r="BO2" s="152"/>
      <c r="BP2" s="152"/>
      <c r="BQ2" s="152"/>
      <c r="BR2" s="152"/>
      <c r="BS2" s="152"/>
      <c r="BT2" s="152"/>
      <c r="BU2" s="152"/>
    </row>
    <row r="3" spans="1:73" s="102" customFormat="1" ht="54.6" customHeight="1" thickTop="1" x14ac:dyDescent="0.3">
      <c r="A3" s="68"/>
      <c r="C3" s="116"/>
      <c r="D3" s="116"/>
      <c r="E3" s="116"/>
      <c r="F3" s="116"/>
      <c r="G3" s="116"/>
      <c r="H3" s="116"/>
      <c r="I3" s="116"/>
      <c r="J3" s="116"/>
      <c r="K3" s="116"/>
      <c r="L3" s="116"/>
      <c r="M3" s="116"/>
      <c r="N3" s="116"/>
      <c r="O3" s="117"/>
      <c r="P3" s="116"/>
      <c r="Q3" s="116"/>
      <c r="R3" s="116"/>
      <c r="S3" s="118"/>
      <c r="T3" s="150" t="s">
        <v>42</v>
      </c>
      <c r="U3" s="173" t="str">
        <f>sem1_sub1</f>
        <v>Personal Development</v>
      </c>
      <c r="V3" s="174"/>
      <c r="W3" s="173" t="str">
        <f>sem1_sub2</f>
        <v>Understanding Culture, Society and Politics</v>
      </c>
      <c r="X3" s="174"/>
      <c r="Y3" s="173" t="str">
        <f>sem1_sub3</f>
        <v>Physical Education and Health III</v>
      </c>
      <c r="Z3" s="174"/>
      <c r="AA3" s="173" t="str">
        <f>sem1_sub4</f>
        <v>English for Academic and Professional Purposes</v>
      </c>
      <c r="AB3" s="174"/>
      <c r="AC3" s="173" t="str">
        <f>sem1_sub5</f>
        <v>Practical Research 2</v>
      </c>
      <c r="AD3" s="174"/>
      <c r="AE3" s="173" t="str">
        <f>sem1_sub6</f>
        <v>Automotive Servicing</v>
      </c>
      <c r="AF3" s="174"/>
      <c r="AG3" s="173" t="str">
        <f>sem1_sub7</f>
        <v/>
      </c>
      <c r="AH3" s="174"/>
      <c r="AI3" s="173" t="str">
        <f>sem1_sub8</f>
        <v/>
      </c>
      <c r="AJ3" s="174"/>
      <c r="AK3" s="173" t="str">
        <f>sem1_sub9</f>
        <v/>
      </c>
      <c r="AL3" s="174"/>
      <c r="AM3" s="173" t="str">
        <f>sem1_sub10</f>
        <v/>
      </c>
      <c r="AN3" s="174"/>
      <c r="AO3" s="150" t="s">
        <v>42</v>
      </c>
      <c r="AP3" s="173" t="str">
        <f>sem2_sub1</f>
        <v>Contemporary Philippine Arts from the Regions</v>
      </c>
      <c r="AQ3" s="174"/>
      <c r="AR3" s="173" t="str">
        <f>sem2_sub2</f>
        <v>Filipino sa Piling Larangan</v>
      </c>
      <c r="AS3" s="174"/>
      <c r="AT3" s="168" t="str">
        <f>sem2_sub3</f>
        <v>Media and Information Literacy</v>
      </c>
      <c r="AU3" s="169"/>
      <c r="AV3" s="168" t="str">
        <f>sem2_sub4</f>
        <v>Physical Education and Health IV</v>
      </c>
      <c r="AW3" s="169"/>
      <c r="AX3" s="168" t="str">
        <f>sem2_sub5</f>
        <v>Entreprenuership</v>
      </c>
      <c r="AY3" s="169"/>
      <c r="AZ3" s="168" t="str">
        <f>sem2_sub6</f>
        <v>Inquiries, Investigations and Immersion</v>
      </c>
      <c r="BA3" s="169"/>
      <c r="BB3" s="168" t="str">
        <f>sem2_sub7</f>
        <v>Work Immersion</v>
      </c>
      <c r="BC3" s="169"/>
      <c r="BD3" s="168" t="str">
        <f>sem2_sub8</f>
        <v/>
      </c>
      <c r="BE3" s="169"/>
      <c r="BF3" s="168" t="str">
        <f>sem2_sub9</f>
        <v/>
      </c>
      <c r="BG3" s="169"/>
      <c r="BH3" s="168" t="str">
        <f>sem2_sub10</f>
        <v/>
      </c>
      <c r="BI3" s="169"/>
      <c r="BJ3" s="151"/>
      <c r="BK3" s="149"/>
      <c r="BL3" s="149"/>
      <c r="BM3" s="149"/>
      <c r="BN3" s="149"/>
      <c r="BO3" s="149"/>
      <c r="BP3" s="149"/>
      <c r="BQ3" s="149"/>
      <c r="BR3" s="149"/>
      <c r="BS3" s="149"/>
      <c r="BT3" s="149"/>
      <c r="BU3" s="149"/>
    </row>
    <row r="4" spans="1:73" s="103" customFormat="1" ht="34.799999999999997" customHeight="1" x14ac:dyDescent="0.3">
      <c r="A4" s="78"/>
      <c r="C4" s="104" t="s">
        <v>2</v>
      </c>
      <c r="D4" s="105" t="s">
        <v>0</v>
      </c>
      <c r="E4" s="105" t="s">
        <v>1</v>
      </c>
      <c r="F4" s="105" t="s">
        <v>3</v>
      </c>
      <c r="G4" s="103" t="s">
        <v>132</v>
      </c>
      <c r="H4" s="105" t="s">
        <v>4</v>
      </c>
      <c r="I4" s="106" t="s">
        <v>5</v>
      </c>
      <c r="J4" s="106" t="s">
        <v>6</v>
      </c>
      <c r="K4" s="105" t="s">
        <v>7</v>
      </c>
      <c r="L4" s="105" t="s">
        <v>9</v>
      </c>
      <c r="M4" s="107" t="s">
        <v>51</v>
      </c>
      <c r="N4" s="105" t="s">
        <v>10</v>
      </c>
      <c r="O4" s="108" t="s">
        <v>11</v>
      </c>
      <c r="P4" s="109" t="s">
        <v>42</v>
      </c>
      <c r="Q4" s="109" t="s">
        <v>72</v>
      </c>
      <c r="R4" s="109" t="s">
        <v>55</v>
      </c>
      <c r="S4" s="103" t="s">
        <v>79</v>
      </c>
      <c r="T4" s="103" t="s">
        <v>192</v>
      </c>
      <c r="U4" s="110" t="s">
        <v>105</v>
      </c>
      <c r="V4" s="110" t="s">
        <v>106</v>
      </c>
      <c r="W4" s="110" t="s">
        <v>107</v>
      </c>
      <c r="X4" s="110" t="s">
        <v>108</v>
      </c>
      <c r="Y4" s="110" t="s">
        <v>109</v>
      </c>
      <c r="Z4" s="110" t="s">
        <v>110</v>
      </c>
      <c r="AA4" s="110" t="s">
        <v>111</v>
      </c>
      <c r="AB4" s="110" t="s">
        <v>112</v>
      </c>
      <c r="AC4" s="110" t="s">
        <v>113</v>
      </c>
      <c r="AD4" s="110" t="s">
        <v>114</v>
      </c>
      <c r="AE4" s="110" t="s">
        <v>115</v>
      </c>
      <c r="AF4" s="110" t="s">
        <v>116</v>
      </c>
      <c r="AG4" s="110" t="s">
        <v>117</v>
      </c>
      <c r="AH4" s="110" t="s">
        <v>118</v>
      </c>
      <c r="AI4" s="110" t="s">
        <v>119</v>
      </c>
      <c r="AJ4" s="110" t="s">
        <v>120</v>
      </c>
      <c r="AK4" s="110" t="s">
        <v>121</v>
      </c>
      <c r="AL4" s="110" t="s">
        <v>122</v>
      </c>
      <c r="AM4" s="110" t="s">
        <v>123</v>
      </c>
      <c r="AN4" s="110" t="s">
        <v>124</v>
      </c>
      <c r="AO4" s="111" t="s">
        <v>129</v>
      </c>
      <c r="AP4" s="112" t="s">
        <v>165</v>
      </c>
      <c r="AQ4" s="112" t="s">
        <v>166</v>
      </c>
      <c r="AR4" s="112" t="s">
        <v>167</v>
      </c>
      <c r="AS4" s="112" t="s">
        <v>168</v>
      </c>
      <c r="AT4" s="112" t="s">
        <v>169</v>
      </c>
      <c r="AU4" s="112" t="s">
        <v>170</v>
      </c>
      <c r="AV4" s="112" t="s">
        <v>171</v>
      </c>
      <c r="AW4" s="112" t="s">
        <v>172</v>
      </c>
      <c r="AX4" s="112" t="s">
        <v>173</v>
      </c>
      <c r="AY4" s="112" t="s">
        <v>174</v>
      </c>
      <c r="AZ4" s="112" t="s">
        <v>175</v>
      </c>
      <c r="BA4" s="112" t="s">
        <v>176</v>
      </c>
      <c r="BB4" s="112" t="s">
        <v>177</v>
      </c>
      <c r="BC4" s="112" t="s">
        <v>178</v>
      </c>
      <c r="BD4" s="112" t="s">
        <v>179</v>
      </c>
      <c r="BE4" s="112" t="s">
        <v>180</v>
      </c>
      <c r="BF4" s="112" t="s">
        <v>181</v>
      </c>
      <c r="BG4" s="112" t="s">
        <v>182</v>
      </c>
      <c r="BH4" s="112" t="s">
        <v>183</v>
      </c>
      <c r="BI4" s="112" t="s">
        <v>184</v>
      </c>
      <c r="BJ4" s="111" t="s">
        <v>128</v>
      </c>
      <c r="BK4" s="112" t="s">
        <v>18</v>
      </c>
      <c r="BL4" s="112" t="s">
        <v>19</v>
      </c>
      <c r="BM4" s="112" t="s">
        <v>20</v>
      </c>
      <c r="BN4" s="112" t="s">
        <v>21</v>
      </c>
      <c r="BO4" s="112" t="s">
        <v>22</v>
      </c>
      <c r="BP4" s="112" t="s">
        <v>23</v>
      </c>
      <c r="BQ4" s="112" t="s">
        <v>24</v>
      </c>
      <c r="BR4" s="112" t="s">
        <v>25</v>
      </c>
      <c r="BS4" s="112" t="s">
        <v>26</v>
      </c>
      <c r="BT4" s="112" t="s">
        <v>27</v>
      </c>
      <c r="BU4" s="112" t="s">
        <v>28</v>
      </c>
    </row>
    <row r="5" spans="1:73" ht="19.95" customHeight="1" x14ac:dyDescent="0.3">
      <c r="C5" s="4">
        <v>125449080028</v>
      </c>
      <c r="D5" s="7" t="s">
        <v>200</v>
      </c>
      <c r="E5" s="7" t="s">
        <v>201</v>
      </c>
      <c r="F5" s="5" t="s">
        <v>202</v>
      </c>
      <c r="G5" s="5"/>
      <c r="H5" s="5" t="s">
        <v>146</v>
      </c>
      <c r="I5" s="6">
        <v>38411</v>
      </c>
      <c r="J5" s="6">
        <v>45168</v>
      </c>
      <c r="K5" s="9" t="s">
        <v>8</v>
      </c>
      <c r="L5" s="64">
        <v>83</v>
      </c>
      <c r="M5" s="6">
        <v>44741</v>
      </c>
      <c r="N5" s="75" t="s">
        <v>143</v>
      </c>
      <c r="O5" s="73" t="s">
        <v>147</v>
      </c>
      <c r="P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AFFLECK, BEN J.</v>
      </c>
      <c r="Q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AFFLECK, BEN JOSEPH</v>
      </c>
      <c r="R5" s="94">
        <f ca="1">IF(tbl_learners_info[[#This Row],[Date of Birth]]&lt;&gt;0,DATEDIF(tbl_learners_info[[#This Row],[Date of Birth]], TODAY(), "Y"),"")</f>
        <v>20</v>
      </c>
      <c r="S5" s="95" t="str">
        <f>IF(tbl_learners_info[[#This Row],[Name of Previous School]]&lt;&gt;"",IF(tbl_learners_info[[#This Row],[Name of Previous School]]="EAST GUSA NATIONAL HIGH SCHOOL","NO","YES"),"")</f>
        <v>NO</v>
      </c>
      <c r="T5" s="96" t="str">
        <f>tbl_learners_info[[#This Row],[Full Name (Spelled Out)]]</f>
        <v>AFFLECK, BEN JOSEPH</v>
      </c>
      <c r="U5" s="71">
        <v>80</v>
      </c>
      <c r="V5" s="71">
        <v>75</v>
      </c>
      <c r="W5" s="71">
        <v>76</v>
      </c>
      <c r="X5" s="71">
        <v>77</v>
      </c>
      <c r="Y5" s="71">
        <v>89</v>
      </c>
      <c r="Z5" s="71">
        <v>85</v>
      </c>
      <c r="AA5" s="71">
        <v>84</v>
      </c>
      <c r="AB5" s="71">
        <v>84</v>
      </c>
      <c r="AC5" s="71">
        <v>84</v>
      </c>
      <c r="AD5" s="71">
        <v>87</v>
      </c>
      <c r="AE5" s="71">
        <v>88</v>
      </c>
      <c r="AF5" s="71">
        <v>89</v>
      </c>
      <c r="AG5" s="71"/>
      <c r="AH5" s="71"/>
      <c r="AI5" s="71"/>
      <c r="AJ5" s="71"/>
      <c r="AK5" s="71"/>
      <c r="AL5" s="71"/>
      <c r="AM5" s="71"/>
      <c r="AN5" s="71"/>
      <c r="AO5" s="96" t="str">
        <f>tbl_learners_info[[#This Row],[Last Name, First Name, Middle Initial ]]</f>
        <v>AFFLECK, BEN JOSEPH</v>
      </c>
      <c r="AP5" s="71">
        <v>93</v>
      </c>
      <c r="AQ5" s="71">
        <v>93</v>
      </c>
      <c r="AR5" s="71">
        <v>91</v>
      </c>
      <c r="AS5" s="71">
        <v>96</v>
      </c>
      <c r="AT5" s="71">
        <v>83</v>
      </c>
      <c r="AU5" s="71">
        <v>96</v>
      </c>
      <c r="AV5" s="71">
        <v>89</v>
      </c>
      <c r="AW5" s="71">
        <v>96</v>
      </c>
      <c r="AX5" s="71">
        <v>89</v>
      </c>
      <c r="AY5" s="71">
        <v>96</v>
      </c>
      <c r="AZ5" s="71">
        <v>86</v>
      </c>
      <c r="BA5" s="71">
        <v>93</v>
      </c>
      <c r="BB5" s="71">
        <v>89</v>
      </c>
      <c r="BC5" s="71">
        <v>95</v>
      </c>
      <c r="BD5" s="71"/>
      <c r="BE5" s="71"/>
      <c r="BF5" s="71"/>
      <c r="BG5" s="71"/>
      <c r="BH5" s="71"/>
      <c r="BI5" s="71"/>
      <c r="BJ5" s="96" t="str">
        <f>tbl_learners_info[[#This Row],[Last Name, First Name, Middle Initial ]]</f>
        <v>AFFLECK, BEN JOSEPH</v>
      </c>
      <c r="BK5" s="71">
        <v>0</v>
      </c>
      <c r="BL5" s="71">
        <v>0</v>
      </c>
      <c r="BM5" s="71">
        <v>0</v>
      </c>
      <c r="BN5" s="71">
        <v>0</v>
      </c>
      <c r="BO5" s="71">
        <v>0</v>
      </c>
      <c r="BP5" s="71">
        <v>0</v>
      </c>
      <c r="BQ5" s="71">
        <v>0</v>
      </c>
      <c r="BR5" s="71">
        <v>0</v>
      </c>
      <c r="BS5" s="71">
        <v>0</v>
      </c>
      <c r="BT5" s="71">
        <v>0</v>
      </c>
      <c r="BU5" s="71">
        <v>0</v>
      </c>
    </row>
    <row r="6" spans="1:73" ht="19.95" customHeight="1" x14ac:dyDescent="0.3">
      <c r="C6" s="4">
        <v>126317100049</v>
      </c>
      <c r="D6" s="7" t="s">
        <v>203</v>
      </c>
      <c r="E6" s="7" t="s">
        <v>204</v>
      </c>
      <c r="F6" s="5" t="s">
        <v>205</v>
      </c>
      <c r="G6" s="5"/>
      <c r="H6" s="5" t="s">
        <v>146</v>
      </c>
      <c r="I6" s="6">
        <v>38617</v>
      </c>
      <c r="J6" s="6">
        <v>45168</v>
      </c>
      <c r="K6" s="8" t="s">
        <v>8</v>
      </c>
      <c r="L6" s="65">
        <v>82</v>
      </c>
      <c r="M6" s="6">
        <v>44741</v>
      </c>
      <c r="N6" s="6" t="s">
        <v>143</v>
      </c>
      <c r="O6" s="74" t="s">
        <v>147</v>
      </c>
      <c r="P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BALE, CHRISTIAN C.</v>
      </c>
      <c r="Q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BALE, CHRISTIAN CHARLES</v>
      </c>
      <c r="R6" s="94">
        <f ca="1">IF(tbl_learners_info[[#This Row],[Date of Birth]]&lt;&gt;0,DATEDIF(tbl_learners_info[[#This Row],[Date of Birth]], TODAY(), "Y"),"")</f>
        <v>20</v>
      </c>
      <c r="S6" s="95" t="str">
        <f>IF(tbl_learners_info[[#This Row],[Name of Previous School]]&lt;&gt;"",IF(tbl_learners_info[[#This Row],[Name of Previous School]]="EAST GUSA NATIONAL HIGH SCHOOL","NO","YES"),"")</f>
        <v>NO</v>
      </c>
      <c r="T6" s="96" t="str">
        <f>tbl_learners_info[[#This Row],[Full Name (Spelled Out)]]</f>
        <v>BALE, CHRISTIAN CHARLES</v>
      </c>
      <c r="U6" s="71">
        <v>80</v>
      </c>
      <c r="V6" s="71">
        <v>77</v>
      </c>
      <c r="W6" s="71">
        <v>75</v>
      </c>
      <c r="X6" s="71">
        <v>76</v>
      </c>
      <c r="Y6" s="71">
        <v>91</v>
      </c>
      <c r="Z6" s="71">
        <v>85</v>
      </c>
      <c r="AA6" s="71">
        <v>78</v>
      </c>
      <c r="AB6" s="71">
        <v>77</v>
      </c>
      <c r="AC6" s="71">
        <v>80</v>
      </c>
      <c r="AD6" s="71">
        <v>92</v>
      </c>
      <c r="AE6" s="71">
        <v>87</v>
      </c>
      <c r="AF6" s="71">
        <v>88</v>
      </c>
      <c r="AG6" s="71"/>
      <c r="AH6" s="71"/>
      <c r="AI6" s="71"/>
      <c r="AJ6" s="71"/>
      <c r="AK6" s="71"/>
      <c r="AL6" s="71"/>
      <c r="AM6" s="71"/>
      <c r="AN6" s="71"/>
      <c r="AO6" s="96" t="str">
        <f>tbl_learners_info[[#This Row],[Last Name, First Name, Middle Initial ]]</f>
        <v>BALE, CHRISTIAN CHARLES</v>
      </c>
      <c r="AP6" s="71">
        <v>88</v>
      </c>
      <c r="AQ6" s="71">
        <v>89</v>
      </c>
      <c r="AR6" s="71">
        <v>91</v>
      </c>
      <c r="AS6" s="71">
        <v>89</v>
      </c>
      <c r="AT6" s="71">
        <v>77</v>
      </c>
      <c r="AU6" s="71">
        <v>88</v>
      </c>
      <c r="AV6" s="71">
        <v>85</v>
      </c>
      <c r="AW6" s="71">
        <v>89</v>
      </c>
      <c r="AX6" s="71">
        <v>75</v>
      </c>
      <c r="AY6" s="71">
        <v>88</v>
      </c>
      <c r="AZ6" s="71">
        <v>81</v>
      </c>
      <c r="BA6" s="71">
        <v>89</v>
      </c>
      <c r="BB6" s="71">
        <v>83</v>
      </c>
      <c r="BC6" s="71">
        <v>89</v>
      </c>
      <c r="BD6" s="71"/>
      <c r="BE6" s="71"/>
      <c r="BF6" s="71"/>
      <c r="BG6" s="71"/>
      <c r="BH6" s="71"/>
      <c r="BI6" s="71"/>
      <c r="BJ6" s="96" t="str">
        <f>tbl_learners_info[[#This Row],[Last Name, First Name, Middle Initial ]]</f>
        <v>BALE, CHRISTIAN CHARLES</v>
      </c>
      <c r="BK6" s="71">
        <v>0</v>
      </c>
      <c r="BL6" s="71">
        <v>0</v>
      </c>
      <c r="BM6" s="71">
        <v>0</v>
      </c>
      <c r="BN6" s="71">
        <v>0</v>
      </c>
      <c r="BO6" s="71">
        <v>0</v>
      </c>
      <c r="BP6" s="71">
        <v>2</v>
      </c>
      <c r="BQ6" s="71">
        <v>5</v>
      </c>
      <c r="BR6" s="71">
        <v>1</v>
      </c>
      <c r="BS6" s="71">
        <v>0</v>
      </c>
      <c r="BT6" s="71">
        <v>0</v>
      </c>
      <c r="BU6" s="71">
        <v>0</v>
      </c>
    </row>
    <row r="7" spans="1:73" ht="19.95" customHeight="1" x14ac:dyDescent="0.3">
      <c r="C7" s="4">
        <v>127944110374</v>
      </c>
      <c r="D7" s="7" t="s">
        <v>206</v>
      </c>
      <c r="E7" s="7" t="s">
        <v>207</v>
      </c>
      <c r="F7" s="5" t="s">
        <v>208</v>
      </c>
      <c r="G7" s="5"/>
      <c r="H7" s="5" t="s">
        <v>146</v>
      </c>
      <c r="I7" s="6">
        <v>38404</v>
      </c>
      <c r="J7" s="6">
        <v>45168</v>
      </c>
      <c r="K7" s="9" t="s">
        <v>8</v>
      </c>
      <c r="L7" s="64">
        <v>85</v>
      </c>
      <c r="M7" s="6">
        <v>44741</v>
      </c>
      <c r="N7" s="75" t="s">
        <v>143</v>
      </c>
      <c r="O7" s="74" t="s">
        <v>147</v>
      </c>
      <c r="P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CAVILL, HENRY W.</v>
      </c>
      <c r="Q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CAVILL, HENRY WILLIAM</v>
      </c>
      <c r="R7" s="94">
        <f ca="1">IF(tbl_learners_info[[#This Row],[Date of Birth]]&lt;&gt;0,DATEDIF(tbl_learners_info[[#This Row],[Date of Birth]], TODAY(), "Y"),"")</f>
        <v>20</v>
      </c>
      <c r="S7" s="95" t="str">
        <f>IF(tbl_learners_info[[#This Row],[Name of Previous School]]&lt;&gt;"",IF(tbl_learners_info[[#This Row],[Name of Previous School]]="EAST GUSA NATIONAL HIGH SCHOOL","NO","YES"),"")</f>
        <v>NO</v>
      </c>
      <c r="T7" s="96" t="str">
        <f>tbl_learners_info[[#This Row],[Full Name (Spelled Out)]]</f>
        <v>CAVILL, HENRY WILLIAM</v>
      </c>
      <c r="U7" s="71">
        <v>85</v>
      </c>
      <c r="V7" s="71">
        <v>88</v>
      </c>
      <c r="W7" s="71">
        <v>82</v>
      </c>
      <c r="X7" s="71">
        <v>77</v>
      </c>
      <c r="Y7" s="71">
        <v>91</v>
      </c>
      <c r="Z7" s="71">
        <v>86</v>
      </c>
      <c r="AA7" s="71">
        <v>87</v>
      </c>
      <c r="AB7" s="71">
        <v>91</v>
      </c>
      <c r="AC7" s="71">
        <v>84</v>
      </c>
      <c r="AD7" s="71">
        <v>92</v>
      </c>
      <c r="AE7" s="71">
        <v>92</v>
      </c>
      <c r="AF7" s="71">
        <v>93</v>
      </c>
      <c r="AG7" s="71"/>
      <c r="AH7" s="71"/>
      <c r="AI7" s="71"/>
      <c r="AJ7" s="71"/>
      <c r="AK7" s="71"/>
      <c r="AL7" s="71"/>
      <c r="AM7" s="71"/>
      <c r="AN7" s="71"/>
      <c r="AO7" s="96" t="str">
        <f>tbl_learners_info[[#This Row],[Last Name, First Name, Middle Initial ]]</f>
        <v>CAVILL, HENRY WILLIAM</v>
      </c>
      <c r="AP7" s="71">
        <v>91</v>
      </c>
      <c r="AQ7" s="71">
        <v>91</v>
      </c>
      <c r="AR7" s="71">
        <v>90</v>
      </c>
      <c r="AS7" s="71">
        <v>94</v>
      </c>
      <c r="AT7" s="71">
        <v>80</v>
      </c>
      <c r="AU7" s="71">
        <v>91</v>
      </c>
      <c r="AV7" s="71">
        <v>84</v>
      </c>
      <c r="AW7" s="71">
        <v>93</v>
      </c>
      <c r="AX7" s="71">
        <v>76</v>
      </c>
      <c r="AY7" s="71">
        <v>92</v>
      </c>
      <c r="AZ7" s="71">
        <v>86</v>
      </c>
      <c r="BA7" s="71">
        <v>92</v>
      </c>
      <c r="BB7" s="71">
        <v>85</v>
      </c>
      <c r="BC7" s="71">
        <v>92</v>
      </c>
      <c r="BD7" s="71"/>
      <c r="BE7" s="71"/>
      <c r="BF7" s="71"/>
      <c r="BG7" s="71"/>
      <c r="BH7" s="71"/>
      <c r="BI7" s="71"/>
      <c r="BJ7" s="96" t="str">
        <f>tbl_learners_info[[#This Row],[Last Name, First Name, Middle Initial ]]</f>
        <v>CAVILL, HENRY WILLIAM</v>
      </c>
      <c r="BK7" s="71">
        <v>0</v>
      </c>
      <c r="BL7" s="71">
        <v>0</v>
      </c>
      <c r="BM7" s="71">
        <v>0</v>
      </c>
      <c r="BN7" s="71">
        <v>0</v>
      </c>
      <c r="BO7" s="71">
        <v>0</v>
      </c>
      <c r="BP7" s="71">
        <v>0</v>
      </c>
      <c r="BQ7" s="71">
        <v>1</v>
      </c>
      <c r="BR7" s="71">
        <v>1</v>
      </c>
      <c r="BS7" s="71">
        <v>0</v>
      </c>
      <c r="BT7" s="71">
        <v>0</v>
      </c>
      <c r="BU7" s="71">
        <v>0</v>
      </c>
    </row>
    <row r="8" spans="1:73" ht="19.95" customHeight="1" x14ac:dyDescent="0.3">
      <c r="C8" s="4">
        <v>127944110405</v>
      </c>
      <c r="D8" s="7" t="s">
        <v>209</v>
      </c>
      <c r="E8" s="7" t="s">
        <v>210</v>
      </c>
      <c r="F8" s="5" t="s">
        <v>211</v>
      </c>
      <c r="G8" s="5" t="s">
        <v>149</v>
      </c>
      <c r="H8" s="5" t="s">
        <v>146</v>
      </c>
      <c r="I8" s="6">
        <v>38739</v>
      </c>
      <c r="J8" s="6">
        <v>45168</v>
      </c>
      <c r="K8" s="8" t="s">
        <v>8</v>
      </c>
      <c r="L8" s="64">
        <v>85</v>
      </c>
      <c r="M8" s="6">
        <v>44742</v>
      </c>
      <c r="N8" s="75" t="s">
        <v>150</v>
      </c>
      <c r="O8" s="74" t="s">
        <v>151</v>
      </c>
      <c r="P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DAMON, MATT JR. F.</v>
      </c>
      <c r="Q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DAMON, MATT FRANCIS JR.</v>
      </c>
      <c r="R8" s="94">
        <f ca="1">IF(tbl_learners_info[[#This Row],[Date of Birth]]&lt;&gt;0,DATEDIF(tbl_learners_info[[#This Row],[Date of Birth]], TODAY(), "Y"),"")</f>
        <v>19</v>
      </c>
      <c r="S8" s="95" t="str">
        <f>IF(tbl_learners_info[[#This Row],[Name of Previous School]]&lt;&gt;"",IF(tbl_learners_info[[#This Row],[Name of Previous School]]="EAST GUSA NATIONAL HIGH SCHOOL","NO","YES"),"")</f>
        <v>YES</v>
      </c>
      <c r="T8" s="96" t="str">
        <f>tbl_learners_info[[#This Row],[Full Name (Spelled Out)]]</f>
        <v>DAMON, MATT FRANCIS JR.</v>
      </c>
      <c r="U8" s="71">
        <v>82</v>
      </c>
      <c r="V8" s="71">
        <v>78</v>
      </c>
      <c r="W8" s="71">
        <v>80</v>
      </c>
      <c r="X8" s="71">
        <v>78</v>
      </c>
      <c r="Y8" s="71">
        <v>91</v>
      </c>
      <c r="Z8" s="71">
        <v>87</v>
      </c>
      <c r="AA8" s="71">
        <v>84</v>
      </c>
      <c r="AB8" s="71">
        <v>83</v>
      </c>
      <c r="AC8" s="71">
        <v>79</v>
      </c>
      <c r="AD8" s="71">
        <v>95</v>
      </c>
      <c r="AE8" s="71">
        <v>88</v>
      </c>
      <c r="AF8" s="71">
        <v>89</v>
      </c>
      <c r="AG8" s="71"/>
      <c r="AH8" s="71"/>
      <c r="AI8" s="71"/>
      <c r="AJ8" s="71"/>
      <c r="AK8" s="71"/>
      <c r="AL8" s="71"/>
      <c r="AM8" s="71"/>
      <c r="AN8" s="71"/>
      <c r="AO8" s="96" t="str">
        <f>tbl_learners_info[[#This Row],[Last Name, First Name, Middle Initial ]]</f>
        <v>DAMON, MATT FRANCIS JR.</v>
      </c>
      <c r="AP8" s="71">
        <v>92</v>
      </c>
      <c r="AQ8" s="71">
        <v>95</v>
      </c>
      <c r="AR8" s="71">
        <v>89</v>
      </c>
      <c r="AS8" s="71">
        <v>93</v>
      </c>
      <c r="AT8" s="71">
        <v>79</v>
      </c>
      <c r="AU8" s="71">
        <v>93</v>
      </c>
      <c r="AV8" s="71">
        <v>86</v>
      </c>
      <c r="AW8" s="71">
        <v>92</v>
      </c>
      <c r="AX8" s="71">
        <v>77</v>
      </c>
      <c r="AY8" s="71">
        <v>92</v>
      </c>
      <c r="AZ8" s="71">
        <v>85</v>
      </c>
      <c r="BA8" s="71">
        <v>93</v>
      </c>
      <c r="BB8" s="71">
        <v>85</v>
      </c>
      <c r="BC8" s="71">
        <v>93</v>
      </c>
      <c r="BD8" s="71"/>
      <c r="BE8" s="71"/>
      <c r="BF8" s="71"/>
      <c r="BG8" s="71"/>
      <c r="BH8" s="71"/>
      <c r="BI8" s="71"/>
      <c r="BJ8" s="96" t="str">
        <f>tbl_learners_info[[#This Row],[Last Name, First Name, Middle Initial ]]</f>
        <v>DAMON, MATT FRANCIS JR.</v>
      </c>
      <c r="BK8" s="71">
        <v>0</v>
      </c>
      <c r="BL8" s="71">
        <v>0</v>
      </c>
      <c r="BM8" s="71">
        <v>0</v>
      </c>
      <c r="BN8" s="71">
        <v>0</v>
      </c>
      <c r="BO8" s="71">
        <v>0</v>
      </c>
      <c r="BP8" s="71">
        <v>1</v>
      </c>
      <c r="BQ8" s="71">
        <v>0</v>
      </c>
      <c r="BR8" s="71">
        <v>0</v>
      </c>
      <c r="BS8" s="71">
        <v>0</v>
      </c>
      <c r="BT8" s="71">
        <v>0</v>
      </c>
      <c r="BU8" s="71">
        <v>0</v>
      </c>
    </row>
    <row r="9" spans="1:73" ht="19.95" customHeight="1" x14ac:dyDescent="0.3">
      <c r="C9" s="4">
        <v>127944100402</v>
      </c>
      <c r="D9" s="7" t="s">
        <v>212</v>
      </c>
      <c r="E9" s="7" t="s">
        <v>213</v>
      </c>
      <c r="F9" s="5" t="s">
        <v>214</v>
      </c>
      <c r="G9" s="5"/>
      <c r="H9" s="5" t="s">
        <v>146</v>
      </c>
      <c r="I9" s="6">
        <v>37947</v>
      </c>
      <c r="J9" s="6">
        <v>45168</v>
      </c>
      <c r="K9" s="9" t="s">
        <v>8</v>
      </c>
      <c r="L9" s="64">
        <v>81</v>
      </c>
      <c r="M9" s="6">
        <v>44741</v>
      </c>
      <c r="N9" s="75" t="s">
        <v>143</v>
      </c>
      <c r="O9" s="74" t="s">
        <v>147</v>
      </c>
      <c r="P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DICAPRIO, LEONARDO W.</v>
      </c>
      <c r="Q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DICAPRIO, LEONARDO WILHELM</v>
      </c>
      <c r="R9" s="94">
        <f ca="1">IF(tbl_learners_info[[#This Row],[Date of Birth]]&lt;&gt;0,DATEDIF(tbl_learners_info[[#This Row],[Date of Birth]], TODAY(), "Y"),"")</f>
        <v>21</v>
      </c>
      <c r="S9" s="95" t="str">
        <f>IF(tbl_learners_info[[#This Row],[Name of Previous School]]&lt;&gt;"",IF(tbl_learners_info[[#This Row],[Name of Previous School]]="EAST GUSA NATIONAL HIGH SCHOOL","NO","YES"),"")</f>
        <v>NO</v>
      </c>
      <c r="T9" s="96" t="str">
        <f>tbl_learners_info[[#This Row],[Full Name (Spelled Out)]]</f>
        <v>DICAPRIO, LEONARDO WILHELM</v>
      </c>
      <c r="U9" s="71">
        <v>80</v>
      </c>
      <c r="V9" s="71">
        <v>76</v>
      </c>
      <c r="W9" s="71">
        <v>76</v>
      </c>
      <c r="X9" s="71">
        <v>77</v>
      </c>
      <c r="Y9" s="71">
        <v>89</v>
      </c>
      <c r="Z9" s="71">
        <v>86</v>
      </c>
      <c r="AA9" s="71">
        <v>82</v>
      </c>
      <c r="AB9" s="71">
        <v>79</v>
      </c>
      <c r="AC9" s="71">
        <v>85</v>
      </c>
      <c r="AD9" s="71">
        <v>73</v>
      </c>
      <c r="AE9" s="71">
        <v>82</v>
      </c>
      <c r="AF9" s="71">
        <v>85</v>
      </c>
      <c r="AG9" s="71"/>
      <c r="AH9" s="71"/>
      <c r="AI9" s="71"/>
      <c r="AJ9" s="71"/>
      <c r="AK9" s="71"/>
      <c r="AL9" s="71"/>
      <c r="AM9" s="71"/>
      <c r="AN9" s="71"/>
      <c r="AO9" s="96" t="str">
        <f>tbl_learners_info[[#This Row],[Last Name, First Name, Middle Initial ]]</f>
        <v>DICAPRIO, LEONARDO WILHELM</v>
      </c>
      <c r="AP9" s="71">
        <v>89</v>
      </c>
      <c r="AQ9" s="71">
        <v>92</v>
      </c>
      <c r="AR9" s="71">
        <v>91</v>
      </c>
      <c r="AS9" s="71">
        <v>92</v>
      </c>
      <c r="AT9" s="71">
        <v>78</v>
      </c>
      <c r="AU9" s="71">
        <v>92</v>
      </c>
      <c r="AV9" s="71">
        <v>82</v>
      </c>
      <c r="AW9" s="71">
        <v>90</v>
      </c>
      <c r="AX9" s="71">
        <v>84</v>
      </c>
      <c r="AY9" s="71">
        <v>92</v>
      </c>
      <c r="AZ9" s="71">
        <v>85</v>
      </c>
      <c r="BA9" s="71">
        <v>91</v>
      </c>
      <c r="BB9" s="71">
        <v>85</v>
      </c>
      <c r="BC9" s="71">
        <v>92</v>
      </c>
      <c r="BD9" s="71"/>
      <c r="BE9" s="71"/>
      <c r="BF9" s="71"/>
      <c r="BG9" s="71"/>
      <c r="BH9" s="71"/>
      <c r="BI9" s="71"/>
      <c r="BJ9" s="96" t="str">
        <f>tbl_learners_info[[#This Row],[Last Name, First Name, Middle Initial ]]</f>
        <v>DICAPRIO, LEONARDO WILHELM</v>
      </c>
      <c r="BK9" s="71">
        <v>0</v>
      </c>
      <c r="BL9" s="71">
        <v>0</v>
      </c>
      <c r="BM9" s="71">
        <v>0</v>
      </c>
      <c r="BN9" s="71">
        <v>0</v>
      </c>
      <c r="BO9" s="71">
        <v>0</v>
      </c>
      <c r="BP9" s="71">
        <v>2</v>
      </c>
      <c r="BQ9" s="71">
        <v>2</v>
      </c>
      <c r="BR9" s="71">
        <v>1</v>
      </c>
      <c r="BS9" s="71">
        <v>0</v>
      </c>
      <c r="BT9" s="71">
        <v>0</v>
      </c>
      <c r="BU9" s="71">
        <v>0</v>
      </c>
    </row>
    <row r="10" spans="1:73" ht="19.95" customHeight="1" x14ac:dyDescent="0.3">
      <c r="C10" s="4">
        <v>127944110467</v>
      </c>
      <c r="D10" s="7" t="s">
        <v>215</v>
      </c>
      <c r="E10" s="7" t="s">
        <v>216</v>
      </c>
      <c r="F10" s="5" t="s">
        <v>217</v>
      </c>
      <c r="G10" s="5"/>
      <c r="H10" s="5" t="s">
        <v>146</v>
      </c>
      <c r="I10" s="6">
        <v>38890</v>
      </c>
      <c r="J10" s="6">
        <v>45168</v>
      </c>
      <c r="K10" s="8" t="s">
        <v>8</v>
      </c>
      <c r="L10" s="64">
        <v>82</v>
      </c>
      <c r="M10" s="6">
        <v>44741</v>
      </c>
      <c r="N10" s="75" t="s">
        <v>143</v>
      </c>
      <c r="O10" s="74" t="s">
        <v>147</v>
      </c>
      <c r="P1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EFRON, ZAC D.</v>
      </c>
      <c r="Q1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EFRON, ZAC DAVID</v>
      </c>
      <c r="R10" s="94">
        <f ca="1">IF(tbl_learners_info[[#This Row],[Date of Birth]]&lt;&gt;0,DATEDIF(tbl_learners_info[[#This Row],[Date of Birth]], TODAY(), "Y"),"")</f>
        <v>19</v>
      </c>
      <c r="S10" s="95" t="str">
        <f>IF(tbl_learners_info[[#This Row],[Name of Previous School]]&lt;&gt;"",IF(tbl_learners_info[[#This Row],[Name of Previous School]]="EAST GUSA NATIONAL HIGH SCHOOL","NO","YES"),"")</f>
        <v>NO</v>
      </c>
      <c r="T10" s="96" t="str">
        <f>tbl_learners_info[[#This Row],[Full Name (Spelled Out)]]</f>
        <v>EFRON, ZAC DAVID</v>
      </c>
      <c r="U10" s="71">
        <v>84</v>
      </c>
      <c r="V10" s="71">
        <v>75</v>
      </c>
      <c r="W10" s="71">
        <v>78</v>
      </c>
      <c r="X10" s="71">
        <v>77</v>
      </c>
      <c r="Y10" s="71">
        <v>91</v>
      </c>
      <c r="Z10" s="71">
        <v>80</v>
      </c>
      <c r="AA10" s="71">
        <v>81</v>
      </c>
      <c r="AB10" s="71">
        <v>83</v>
      </c>
      <c r="AC10" s="71">
        <v>84</v>
      </c>
      <c r="AD10" s="71">
        <v>92</v>
      </c>
      <c r="AE10" s="71">
        <v>88</v>
      </c>
      <c r="AF10" s="71">
        <v>90</v>
      </c>
      <c r="AG10" s="71"/>
      <c r="AH10" s="71"/>
      <c r="AI10" s="71"/>
      <c r="AJ10" s="71"/>
      <c r="AK10" s="71"/>
      <c r="AL10" s="71"/>
      <c r="AM10" s="71"/>
      <c r="AN10" s="71"/>
      <c r="AO10" s="96" t="str">
        <f>tbl_learners_info[[#This Row],[Last Name, First Name, Middle Initial ]]</f>
        <v>EFRON, ZAC DAVID</v>
      </c>
      <c r="AP10" s="71">
        <v>80</v>
      </c>
      <c r="AQ10" s="71">
        <v>83</v>
      </c>
      <c r="AR10" s="71">
        <v>91</v>
      </c>
      <c r="AS10" s="71">
        <v>82</v>
      </c>
      <c r="AT10" s="71">
        <v>80</v>
      </c>
      <c r="AU10" s="71">
        <v>80</v>
      </c>
      <c r="AV10" s="71">
        <v>85</v>
      </c>
      <c r="AW10" s="71">
        <v>83</v>
      </c>
      <c r="AX10" s="71">
        <v>77</v>
      </c>
      <c r="AY10" s="71">
        <v>80</v>
      </c>
      <c r="AZ10" s="71">
        <v>85</v>
      </c>
      <c r="BA10" s="71">
        <v>81</v>
      </c>
      <c r="BB10" s="71">
        <v>83</v>
      </c>
      <c r="BC10" s="71">
        <v>82</v>
      </c>
      <c r="BD10" s="71"/>
      <c r="BE10" s="71"/>
      <c r="BF10" s="71"/>
      <c r="BG10" s="71"/>
      <c r="BH10" s="71"/>
      <c r="BI10" s="71"/>
      <c r="BJ10" s="96" t="str">
        <f>tbl_learners_info[[#This Row],[Last Name, First Name, Middle Initial ]]</f>
        <v>EFRON, ZAC DAVID</v>
      </c>
      <c r="BK10" s="71">
        <v>0</v>
      </c>
      <c r="BL10" s="71">
        <v>0</v>
      </c>
      <c r="BM10" s="71">
        <v>0</v>
      </c>
      <c r="BN10" s="71">
        <v>0</v>
      </c>
      <c r="BO10" s="71">
        <v>0</v>
      </c>
      <c r="BP10" s="71">
        <v>0</v>
      </c>
      <c r="BQ10" s="71">
        <v>0</v>
      </c>
      <c r="BR10" s="71">
        <v>1</v>
      </c>
      <c r="BS10" s="71">
        <v>0</v>
      </c>
      <c r="BT10" s="71">
        <v>0</v>
      </c>
      <c r="BU10" s="71">
        <v>0</v>
      </c>
    </row>
    <row r="11" spans="1:73" ht="19.95" customHeight="1" x14ac:dyDescent="0.3">
      <c r="C11" s="4">
        <v>127944070414</v>
      </c>
      <c r="D11" s="3" t="s">
        <v>218</v>
      </c>
      <c r="E11" s="3" t="s">
        <v>219</v>
      </c>
      <c r="F11" s="5" t="s">
        <v>220</v>
      </c>
      <c r="G11" s="5" t="s">
        <v>149</v>
      </c>
      <c r="H11" s="5" t="s">
        <v>146</v>
      </c>
      <c r="I11" s="6">
        <v>38143</v>
      </c>
      <c r="J11" s="6">
        <v>45168</v>
      </c>
      <c r="K11" s="9" t="s">
        <v>8</v>
      </c>
      <c r="L11" s="64">
        <v>81</v>
      </c>
      <c r="M11" s="6">
        <v>44741</v>
      </c>
      <c r="N11" s="75" t="s">
        <v>143</v>
      </c>
      <c r="O11" s="74" t="s">
        <v>147</v>
      </c>
      <c r="P1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ELGORT, ANSEL JR. J.</v>
      </c>
      <c r="Q1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ELGORT, ANSEL JOHN JR.</v>
      </c>
      <c r="R11" s="94">
        <f ca="1">IF(tbl_learners_info[[#This Row],[Date of Birth]]&lt;&gt;0,DATEDIF(tbl_learners_info[[#This Row],[Date of Birth]], TODAY(), "Y"),"")</f>
        <v>21</v>
      </c>
      <c r="S11" s="95" t="str">
        <f>IF(tbl_learners_info[[#This Row],[Name of Previous School]]&lt;&gt;"",IF(tbl_learners_info[[#This Row],[Name of Previous School]]="EAST GUSA NATIONAL HIGH SCHOOL","NO","YES"),"")</f>
        <v>NO</v>
      </c>
      <c r="T11" s="96" t="str">
        <f>tbl_learners_info[[#This Row],[Full Name (Spelled Out)]]</f>
        <v>ELGORT, ANSEL JOHN JR.</v>
      </c>
      <c r="U11" s="71">
        <v>75</v>
      </c>
      <c r="V11" s="71">
        <v>75</v>
      </c>
      <c r="W11" s="71">
        <v>75</v>
      </c>
      <c r="X11" s="71">
        <v>75</v>
      </c>
      <c r="Y11" s="71">
        <v>91</v>
      </c>
      <c r="Z11" s="71">
        <v>81</v>
      </c>
      <c r="AA11" s="71">
        <v>75</v>
      </c>
      <c r="AB11" s="71">
        <v>75</v>
      </c>
      <c r="AC11" s="71">
        <v>75</v>
      </c>
      <c r="AD11" s="71">
        <v>89</v>
      </c>
      <c r="AE11" s="71">
        <v>86</v>
      </c>
      <c r="AF11" s="71">
        <v>87</v>
      </c>
      <c r="AG11" s="71"/>
      <c r="AH11" s="71"/>
      <c r="AI11" s="71"/>
      <c r="AJ11" s="71"/>
      <c r="AK11" s="71"/>
      <c r="AL11" s="71"/>
      <c r="AM11" s="71"/>
      <c r="AN11" s="71"/>
      <c r="AO11" s="96" t="str">
        <f>tbl_learners_info[[#This Row],[Last Name, First Name, Middle Initial ]]</f>
        <v>ELGORT, ANSEL JOHN JR.</v>
      </c>
      <c r="AP11" s="71">
        <v>81</v>
      </c>
      <c r="AQ11" s="71">
        <v>78</v>
      </c>
      <c r="AR11" s="71">
        <v>90</v>
      </c>
      <c r="AS11" s="71">
        <v>78</v>
      </c>
      <c r="AT11" s="71">
        <v>75</v>
      </c>
      <c r="AU11" s="71">
        <v>78</v>
      </c>
      <c r="AV11" s="71">
        <v>83</v>
      </c>
      <c r="AW11" s="71">
        <v>78</v>
      </c>
      <c r="AX11" s="71">
        <v>75</v>
      </c>
      <c r="AY11" s="71">
        <v>78</v>
      </c>
      <c r="AZ11" s="71">
        <v>81</v>
      </c>
      <c r="BA11" s="71">
        <v>78</v>
      </c>
      <c r="BB11" s="71">
        <v>81</v>
      </c>
      <c r="BC11" s="71">
        <v>78</v>
      </c>
      <c r="BD11" s="71"/>
      <c r="BE11" s="71"/>
      <c r="BF11" s="71"/>
      <c r="BG11" s="71"/>
      <c r="BH11" s="71"/>
      <c r="BI11" s="71"/>
      <c r="BJ11" s="96" t="str">
        <f>tbl_learners_info[[#This Row],[Last Name, First Name, Middle Initial ]]</f>
        <v>ELGORT, ANSEL JOHN JR.</v>
      </c>
      <c r="BK11" s="71">
        <v>0</v>
      </c>
      <c r="BL11" s="71">
        <v>0</v>
      </c>
      <c r="BM11" s="71">
        <v>0</v>
      </c>
      <c r="BN11" s="71">
        <v>0</v>
      </c>
      <c r="BO11" s="71">
        <v>1</v>
      </c>
      <c r="BP11" s="71">
        <v>2</v>
      </c>
      <c r="BQ11" s="71">
        <v>0</v>
      </c>
      <c r="BR11" s="71">
        <v>3</v>
      </c>
      <c r="BS11" s="71">
        <v>0</v>
      </c>
      <c r="BT11" s="71">
        <v>0</v>
      </c>
      <c r="BU11" s="71">
        <v>0</v>
      </c>
    </row>
    <row r="12" spans="1:73" ht="19.95" customHeight="1" x14ac:dyDescent="0.3">
      <c r="C12" s="4">
        <v>127944110592</v>
      </c>
      <c r="D12" s="7" t="s">
        <v>221</v>
      </c>
      <c r="E12" s="7" t="s">
        <v>222</v>
      </c>
      <c r="F12" s="5" t="s">
        <v>223</v>
      </c>
      <c r="G12" s="5"/>
      <c r="H12" s="5" t="s">
        <v>146</v>
      </c>
      <c r="I12" s="6">
        <v>38861</v>
      </c>
      <c r="J12" s="6">
        <v>45168</v>
      </c>
      <c r="K12" s="8" t="s">
        <v>8</v>
      </c>
      <c r="L12" s="64">
        <v>82</v>
      </c>
      <c r="M12" s="6">
        <v>44741</v>
      </c>
      <c r="N12" s="75" t="s">
        <v>143</v>
      </c>
      <c r="O12" s="74" t="s">
        <v>147</v>
      </c>
      <c r="P1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EVANS, CHRIS R.</v>
      </c>
      <c r="Q1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EVANS, CHRIS ROBERT</v>
      </c>
      <c r="R12" s="94">
        <f ca="1">IF(tbl_learners_info[[#This Row],[Date of Birth]]&lt;&gt;0,DATEDIF(tbl_learners_info[[#This Row],[Date of Birth]], TODAY(), "Y"),"")</f>
        <v>19</v>
      </c>
      <c r="S12" s="95" t="str">
        <f>IF(tbl_learners_info[[#This Row],[Name of Previous School]]&lt;&gt;"",IF(tbl_learners_info[[#This Row],[Name of Previous School]]="EAST GUSA NATIONAL HIGH SCHOOL","NO","YES"),"")</f>
        <v>NO</v>
      </c>
      <c r="T12" s="96" t="str">
        <f>tbl_learners_info[[#This Row],[Full Name (Spelled Out)]]</f>
        <v>EVANS, CHRIS ROBERT</v>
      </c>
      <c r="U12" s="71">
        <v>75</v>
      </c>
      <c r="V12" s="71">
        <v>75</v>
      </c>
      <c r="W12" s="71">
        <v>77</v>
      </c>
      <c r="X12" s="71">
        <v>73</v>
      </c>
      <c r="Y12" s="71">
        <v>89</v>
      </c>
      <c r="Z12" s="71">
        <v>83</v>
      </c>
      <c r="AA12" s="71">
        <v>78</v>
      </c>
      <c r="AB12" s="71">
        <v>78</v>
      </c>
      <c r="AC12" s="71">
        <v>73</v>
      </c>
      <c r="AD12" s="71">
        <v>82</v>
      </c>
      <c r="AE12" s="71">
        <v>85</v>
      </c>
      <c r="AF12" s="71">
        <v>86</v>
      </c>
      <c r="AG12" s="71"/>
      <c r="AH12" s="71"/>
      <c r="AI12" s="71"/>
      <c r="AJ12" s="71"/>
      <c r="AK12" s="71"/>
      <c r="AL12" s="71"/>
      <c r="AM12" s="71"/>
      <c r="AN12" s="71"/>
      <c r="AO12" s="96" t="str">
        <f>tbl_learners_info[[#This Row],[Last Name, First Name, Middle Initial ]]</f>
        <v>EVANS, CHRIS ROBERT</v>
      </c>
      <c r="AP12" s="71">
        <v>81</v>
      </c>
      <c r="AQ12" s="71">
        <v>78</v>
      </c>
      <c r="AR12" s="71">
        <v>89</v>
      </c>
      <c r="AS12" s="71">
        <v>78</v>
      </c>
      <c r="AT12" s="71">
        <v>81</v>
      </c>
      <c r="AU12" s="71">
        <v>78</v>
      </c>
      <c r="AV12" s="71">
        <v>81</v>
      </c>
      <c r="AW12" s="71">
        <v>78</v>
      </c>
      <c r="AX12" s="71">
        <v>75</v>
      </c>
      <c r="AY12" s="71">
        <v>78</v>
      </c>
      <c r="AZ12" s="71">
        <v>81</v>
      </c>
      <c r="BA12" s="71">
        <v>78</v>
      </c>
      <c r="BB12" s="71">
        <v>81</v>
      </c>
      <c r="BC12" s="71">
        <v>78</v>
      </c>
      <c r="BD12" s="71"/>
      <c r="BE12" s="71"/>
      <c r="BF12" s="71"/>
      <c r="BG12" s="71"/>
      <c r="BH12" s="71"/>
      <c r="BI12" s="71"/>
      <c r="BJ12" s="96" t="str">
        <f>tbl_learners_info[[#This Row],[Last Name, First Name, Middle Initial ]]</f>
        <v>EVANS, CHRIS ROBERT</v>
      </c>
      <c r="BK12" s="71">
        <v>0</v>
      </c>
      <c r="BL12" s="71">
        <v>0</v>
      </c>
      <c r="BM12" s="71">
        <v>0</v>
      </c>
      <c r="BN12" s="71">
        <v>0</v>
      </c>
      <c r="BO12" s="71">
        <v>4</v>
      </c>
      <c r="BP12" s="71">
        <v>11</v>
      </c>
      <c r="BQ12" s="71">
        <v>0</v>
      </c>
      <c r="BR12" s="71">
        <v>0</v>
      </c>
      <c r="BS12" s="71">
        <v>0</v>
      </c>
      <c r="BT12" s="71">
        <v>0</v>
      </c>
      <c r="BU12" s="71">
        <v>0</v>
      </c>
    </row>
    <row r="13" spans="1:73" ht="19.95" customHeight="1" x14ac:dyDescent="0.3">
      <c r="C13" s="4">
        <v>127944120163</v>
      </c>
      <c r="D13" s="7" t="s">
        <v>224</v>
      </c>
      <c r="E13" s="7" t="s">
        <v>225</v>
      </c>
      <c r="F13" s="5" t="s">
        <v>226</v>
      </c>
      <c r="G13" s="5"/>
      <c r="H13" s="5" t="s">
        <v>146</v>
      </c>
      <c r="I13" s="6">
        <v>38729</v>
      </c>
      <c r="J13" s="6">
        <v>45168</v>
      </c>
      <c r="K13" s="9" t="s">
        <v>8</v>
      </c>
      <c r="L13" s="64">
        <v>83</v>
      </c>
      <c r="M13" s="6">
        <v>44741</v>
      </c>
      <c r="N13" s="75" t="s">
        <v>143</v>
      </c>
      <c r="O13" s="74" t="s">
        <v>147</v>
      </c>
      <c r="P1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GARFIELD, ANDREW R.</v>
      </c>
      <c r="Q1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GARFIELD, ANDREW RUSSELL</v>
      </c>
      <c r="R13" s="94">
        <f ca="1">IF(tbl_learners_info[[#This Row],[Date of Birth]]&lt;&gt;0,DATEDIF(tbl_learners_info[[#This Row],[Date of Birth]], TODAY(), "Y"),"")</f>
        <v>19</v>
      </c>
      <c r="S13" s="95" t="str">
        <f>IF(tbl_learners_info[[#This Row],[Name of Previous School]]&lt;&gt;"",IF(tbl_learners_info[[#This Row],[Name of Previous School]]="EAST GUSA NATIONAL HIGH SCHOOL","NO","YES"),"")</f>
        <v>NO</v>
      </c>
      <c r="T13" s="96" t="str">
        <f>tbl_learners_info[[#This Row],[Full Name (Spelled Out)]]</f>
        <v>GARFIELD, ANDREW RUSSELL</v>
      </c>
      <c r="U13" s="71">
        <v>81</v>
      </c>
      <c r="V13" s="71">
        <v>80</v>
      </c>
      <c r="W13" s="71">
        <v>81</v>
      </c>
      <c r="X13" s="71">
        <v>82</v>
      </c>
      <c r="Y13" s="71">
        <v>92</v>
      </c>
      <c r="Z13" s="71">
        <v>81</v>
      </c>
      <c r="AA13" s="71">
        <v>88</v>
      </c>
      <c r="AB13" s="71">
        <v>82</v>
      </c>
      <c r="AC13" s="71">
        <v>93</v>
      </c>
      <c r="AD13" s="71">
        <v>90</v>
      </c>
      <c r="AE13" s="71">
        <v>87</v>
      </c>
      <c r="AF13" s="71">
        <v>88</v>
      </c>
      <c r="AG13" s="71"/>
      <c r="AH13" s="71"/>
      <c r="AI13" s="71"/>
      <c r="AJ13" s="71"/>
      <c r="AK13" s="71"/>
      <c r="AL13" s="71"/>
      <c r="AM13" s="71"/>
      <c r="AN13" s="71"/>
      <c r="AO13" s="96" t="str">
        <f>tbl_learners_info[[#This Row],[Last Name, First Name, Middle Initial ]]</f>
        <v>GARFIELD, ANDREW RUSSELL</v>
      </c>
      <c r="AP13" s="71">
        <v>80</v>
      </c>
      <c r="AQ13" s="71">
        <v>81</v>
      </c>
      <c r="AR13" s="71">
        <v>91</v>
      </c>
      <c r="AS13" s="71">
        <v>81</v>
      </c>
      <c r="AT13" s="71">
        <v>81</v>
      </c>
      <c r="AU13" s="71">
        <v>81</v>
      </c>
      <c r="AV13" s="71">
        <v>87</v>
      </c>
      <c r="AW13" s="71">
        <v>81</v>
      </c>
      <c r="AX13" s="71">
        <v>75</v>
      </c>
      <c r="AY13" s="71">
        <v>82</v>
      </c>
      <c r="AZ13" s="71">
        <v>89</v>
      </c>
      <c r="BA13" s="71">
        <v>81</v>
      </c>
      <c r="BB13" s="71">
        <v>84</v>
      </c>
      <c r="BC13" s="71">
        <v>81</v>
      </c>
      <c r="BD13" s="71"/>
      <c r="BE13" s="71"/>
      <c r="BF13" s="71"/>
      <c r="BG13" s="71"/>
      <c r="BH13" s="71"/>
      <c r="BI13" s="71"/>
      <c r="BJ13" s="96" t="str">
        <f>tbl_learners_info[[#This Row],[Last Name, First Name, Middle Initial ]]</f>
        <v>GARFIELD, ANDREW RUSSELL</v>
      </c>
      <c r="BK13" s="71">
        <v>0</v>
      </c>
      <c r="BL13" s="71">
        <v>0</v>
      </c>
      <c r="BM13" s="71">
        <v>0</v>
      </c>
      <c r="BN13" s="71">
        <v>0</v>
      </c>
      <c r="BO13" s="71">
        <v>0</v>
      </c>
      <c r="BP13" s="71">
        <v>0</v>
      </c>
      <c r="BQ13" s="71">
        <v>0</v>
      </c>
      <c r="BR13" s="71">
        <v>1</v>
      </c>
      <c r="BS13" s="71">
        <v>0</v>
      </c>
      <c r="BT13" s="71">
        <v>0</v>
      </c>
      <c r="BU13" s="71">
        <v>0</v>
      </c>
    </row>
    <row r="14" spans="1:73" ht="19.95" customHeight="1" x14ac:dyDescent="0.3">
      <c r="C14" s="4">
        <v>127946120053</v>
      </c>
      <c r="D14" s="7" t="s">
        <v>227</v>
      </c>
      <c r="E14" s="7" t="s">
        <v>228</v>
      </c>
      <c r="F14" s="5" t="s">
        <v>229</v>
      </c>
      <c r="G14" s="5"/>
      <c r="H14" s="5" t="s">
        <v>146</v>
      </c>
      <c r="I14" s="6">
        <v>38276</v>
      </c>
      <c r="J14" s="6">
        <v>45168</v>
      </c>
      <c r="K14" s="8" t="s">
        <v>8</v>
      </c>
      <c r="L14" s="64">
        <v>81</v>
      </c>
      <c r="M14" s="6">
        <v>44741</v>
      </c>
      <c r="N14" s="75" t="s">
        <v>143</v>
      </c>
      <c r="O14" s="74" t="s">
        <v>147</v>
      </c>
      <c r="P1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GOSLING, RYAN C.</v>
      </c>
      <c r="Q1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GOSLING, RYAN CHRISTOPHER</v>
      </c>
      <c r="R14" s="94">
        <f ca="1">IF(tbl_learners_info[[#This Row],[Date of Birth]]&lt;&gt;0,DATEDIF(tbl_learners_info[[#This Row],[Date of Birth]], TODAY(), "Y"),"")</f>
        <v>21</v>
      </c>
      <c r="S14" s="95" t="str">
        <f>IF(tbl_learners_info[[#This Row],[Name of Previous School]]&lt;&gt;"",IF(tbl_learners_info[[#This Row],[Name of Previous School]]="EAST GUSA NATIONAL HIGH SCHOOL","NO","YES"),"")</f>
        <v>NO</v>
      </c>
      <c r="T14" s="96" t="str">
        <f>tbl_learners_info[[#This Row],[Full Name (Spelled Out)]]</f>
        <v>GOSLING, RYAN CHRISTOPHER</v>
      </c>
      <c r="U14" s="71">
        <v>80</v>
      </c>
      <c r="V14" s="71">
        <v>83</v>
      </c>
      <c r="W14" s="71">
        <v>80</v>
      </c>
      <c r="X14" s="71">
        <v>77</v>
      </c>
      <c r="Y14" s="71">
        <v>92</v>
      </c>
      <c r="Z14" s="71">
        <v>85</v>
      </c>
      <c r="AA14" s="71">
        <v>83</v>
      </c>
      <c r="AB14" s="71">
        <v>83</v>
      </c>
      <c r="AC14" s="71">
        <v>90</v>
      </c>
      <c r="AD14" s="71">
        <v>97</v>
      </c>
      <c r="AE14" s="71">
        <v>85</v>
      </c>
      <c r="AF14" s="71">
        <v>89</v>
      </c>
      <c r="AG14" s="71"/>
      <c r="AH14" s="71"/>
      <c r="AI14" s="71"/>
      <c r="AJ14" s="71"/>
      <c r="AK14" s="71"/>
      <c r="AL14" s="71"/>
      <c r="AM14" s="71"/>
      <c r="AN14" s="71"/>
      <c r="AO14" s="96" t="str">
        <f>tbl_learners_info[[#This Row],[Last Name, First Name, Middle Initial ]]</f>
        <v>GOSLING, RYAN CHRISTOPHER</v>
      </c>
      <c r="AP14" s="71">
        <v>84</v>
      </c>
      <c r="AQ14" s="71">
        <v>86</v>
      </c>
      <c r="AR14" s="71">
        <v>89</v>
      </c>
      <c r="AS14" s="71">
        <v>84</v>
      </c>
      <c r="AT14" s="71">
        <v>80</v>
      </c>
      <c r="AU14" s="71">
        <v>87</v>
      </c>
      <c r="AV14" s="71">
        <v>84</v>
      </c>
      <c r="AW14" s="71">
        <v>85</v>
      </c>
      <c r="AX14" s="71">
        <v>75</v>
      </c>
      <c r="AY14" s="71">
        <v>84</v>
      </c>
      <c r="AZ14" s="71">
        <v>88</v>
      </c>
      <c r="BA14" s="71">
        <v>87</v>
      </c>
      <c r="BB14" s="71">
        <v>83</v>
      </c>
      <c r="BC14" s="71">
        <v>86</v>
      </c>
      <c r="BD14" s="71"/>
      <c r="BE14" s="71"/>
      <c r="BF14" s="71"/>
      <c r="BG14" s="71"/>
      <c r="BH14" s="71"/>
      <c r="BI14" s="71"/>
      <c r="BJ14" s="96" t="str">
        <f>tbl_learners_info[[#This Row],[Last Name, First Name, Middle Initial ]]</f>
        <v>GOSLING, RYAN CHRISTOPHER</v>
      </c>
      <c r="BK14" s="71">
        <v>0</v>
      </c>
      <c r="BL14" s="71">
        <v>0</v>
      </c>
      <c r="BM14" s="71">
        <v>0</v>
      </c>
      <c r="BN14" s="71">
        <v>0</v>
      </c>
      <c r="BO14" s="71">
        <v>0</v>
      </c>
      <c r="BP14" s="71">
        <v>0</v>
      </c>
      <c r="BQ14" s="71">
        <v>0</v>
      </c>
      <c r="BR14" s="71">
        <v>1</v>
      </c>
      <c r="BS14" s="71">
        <v>0</v>
      </c>
      <c r="BT14" s="71">
        <v>0</v>
      </c>
      <c r="BU14" s="71">
        <v>0</v>
      </c>
    </row>
    <row r="15" spans="1:73" ht="19.95" customHeight="1" x14ac:dyDescent="0.3">
      <c r="C15" s="11">
        <v>127944100662</v>
      </c>
      <c r="D15" s="7" t="s">
        <v>230</v>
      </c>
      <c r="E15" s="7" t="s">
        <v>231</v>
      </c>
      <c r="F15" s="5" t="s">
        <v>232</v>
      </c>
      <c r="G15" s="5"/>
      <c r="H15" s="5" t="s">
        <v>146</v>
      </c>
      <c r="I15" s="6">
        <v>38994</v>
      </c>
      <c r="J15" s="6">
        <v>45168</v>
      </c>
      <c r="K15" s="9" t="s">
        <v>8</v>
      </c>
      <c r="L15" s="64">
        <v>82</v>
      </c>
      <c r="M15" s="6">
        <v>44741</v>
      </c>
      <c r="N15" s="75" t="s">
        <v>143</v>
      </c>
      <c r="O15" s="74" t="s">
        <v>147</v>
      </c>
      <c r="P1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HARDY, TOM P.</v>
      </c>
      <c r="Q1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HARDY, TOM PATRICK</v>
      </c>
      <c r="R15" s="94">
        <f ca="1">IF(tbl_learners_info[[#This Row],[Date of Birth]]&lt;&gt;0,DATEDIF(tbl_learners_info[[#This Row],[Date of Birth]], TODAY(), "Y"),"")</f>
        <v>19</v>
      </c>
      <c r="S15" s="95" t="str">
        <f>IF(tbl_learners_info[[#This Row],[Name of Previous School]]&lt;&gt;"",IF(tbl_learners_info[[#This Row],[Name of Previous School]]="EAST GUSA NATIONAL HIGH SCHOOL","NO","YES"),"")</f>
        <v>NO</v>
      </c>
      <c r="T15" s="96" t="str">
        <f>tbl_learners_info[[#This Row],[Full Name (Spelled Out)]]</f>
        <v>HARDY, TOM PATRICK</v>
      </c>
      <c r="U15" s="71">
        <v>75</v>
      </c>
      <c r="V15" s="71">
        <v>75</v>
      </c>
      <c r="W15" s="71">
        <v>75</v>
      </c>
      <c r="X15" s="71">
        <v>92</v>
      </c>
      <c r="Y15" s="71">
        <v>75</v>
      </c>
      <c r="Z15" s="71">
        <v>75</v>
      </c>
      <c r="AA15" s="71">
        <v>75</v>
      </c>
      <c r="AB15" s="71">
        <v>75</v>
      </c>
      <c r="AC15" s="71">
        <v>72</v>
      </c>
      <c r="AD15" s="71">
        <v>80</v>
      </c>
      <c r="AE15" s="71">
        <v>86</v>
      </c>
      <c r="AF15" s="71">
        <v>87</v>
      </c>
      <c r="AG15" s="71"/>
      <c r="AH15" s="71"/>
      <c r="AI15" s="71"/>
      <c r="AJ15" s="71"/>
      <c r="AK15" s="71"/>
      <c r="AL15" s="71"/>
      <c r="AM15" s="71"/>
      <c r="AN15" s="71"/>
      <c r="AO15" s="96" t="str">
        <f>tbl_learners_info[[#This Row],[Last Name, First Name, Middle Initial ]]</f>
        <v>HARDY, TOM PATRICK</v>
      </c>
      <c r="AP15" s="71">
        <v>80</v>
      </c>
      <c r="AQ15" s="71">
        <v>81</v>
      </c>
      <c r="AR15" s="71">
        <v>89</v>
      </c>
      <c r="AS15" s="71">
        <v>82</v>
      </c>
      <c r="AT15" s="71">
        <v>78</v>
      </c>
      <c r="AU15" s="71">
        <v>80</v>
      </c>
      <c r="AV15" s="71">
        <v>83</v>
      </c>
      <c r="AW15" s="71">
        <v>80</v>
      </c>
      <c r="AX15" s="71">
        <v>75</v>
      </c>
      <c r="AY15" s="71">
        <v>80</v>
      </c>
      <c r="AZ15" s="71">
        <v>80</v>
      </c>
      <c r="BA15" s="71">
        <v>81</v>
      </c>
      <c r="BB15" s="71">
        <v>81</v>
      </c>
      <c r="BC15" s="71">
        <v>81</v>
      </c>
      <c r="BD15" s="71"/>
      <c r="BE15" s="71"/>
      <c r="BF15" s="71"/>
      <c r="BG15" s="71"/>
      <c r="BH15" s="71"/>
      <c r="BI15" s="71"/>
      <c r="BJ15" s="96" t="str">
        <f>tbl_learners_info[[#This Row],[Last Name, First Name, Middle Initial ]]</f>
        <v>HARDY, TOM PATRICK</v>
      </c>
      <c r="BK15" s="71">
        <v>0</v>
      </c>
      <c r="BL15" s="71">
        <v>0</v>
      </c>
      <c r="BM15" s="71">
        <v>0</v>
      </c>
      <c r="BN15" s="71">
        <v>0</v>
      </c>
      <c r="BO15" s="71">
        <v>0</v>
      </c>
      <c r="BP15" s="71">
        <v>4</v>
      </c>
      <c r="BQ15" s="71">
        <v>0</v>
      </c>
      <c r="BR15" s="71">
        <v>1</v>
      </c>
      <c r="BS15" s="71">
        <v>0</v>
      </c>
      <c r="BT15" s="71">
        <v>0</v>
      </c>
      <c r="BU15" s="71">
        <v>0</v>
      </c>
    </row>
    <row r="16" spans="1:73" ht="19.95" customHeight="1" x14ac:dyDescent="0.3">
      <c r="C16" s="4">
        <v>127643120004</v>
      </c>
      <c r="D16" s="7" t="s">
        <v>233</v>
      </c>
      <c r="E16" s="7" t="s">
        <v>222</v>
      </c>
      <c r="F16" s="5" t="s">
        <v>225</v>
      </c>
      <c r="G16" s="5"/>
      <c r="H16" s="5" t="s">
        <v>146</v>
      </c>
      <c r="I16" s="6">
        <v>37673</v>
      </c>
      <c r="J16" s="6">
        <v>45168</v>
      </c>
      <c r="K16" s="9" t="s">
        <v>8</v>
      </c>
      <c r="L16" s="64">
        <v>87</v>
      </c>
      <c r="M16" s="6">
        <v>44741</v>
      </c>
      <c r="N16" s="75" t="s">
        <v>143</v>
      </c>
      <c r="O16" s="74" t="s">
        <v>147</v>
      </c>
      <c r="P1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HEMSWORTH, CHRIS A.</v>
      </c>
      <c r="Q1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HEMSWORTH, CHRIS ANDREW</v>
      </c>
      <c r="R16" s="94">
        <f ca="1">IF(tbl_learners_info[[#This Row],[Date of Birth]]&lt;&gt;0,DATEDIF(tbl_learners_info[[#This Row],[Date of Birth]], TODAY(), "Y"),"")</f>
        <v>22</v>
      </c>
      <c r="S16" s="95" t="str">
        <f>IF(tbl_learners_info[[#This Row],[Name of Previous School]]&lt;&gt;"",IF(tbl_learners_info[[#This Row],[Name of Previous School]]="EAST GUSA NATIONAL HIGH SCHOOL","NO","YES"),"")</f>
        <v>NO</v>
      </c>
      <c r="T16" s="96" t="str">
        <f>tbl_learners_info[[#This Row],[Full Name (Spelled Out)]]</f>
        <v>HEMSWORTH, CHRIS ANDREW</v>
      </c>
      <c r="U16" s="71">
        <v>75</v>
      </c>
      <c r="V16" s="71">
        <v>75</v>
      </c>
      <c r="W16" s="71">
        <v>75</v>
      </c>
      <c r="X16" s="71">
        <v>75</v>
      </c>
      <c r="Y16" s="71">
        <v>92</v>
      </c>
      <c r="Z16" s="71">
        <v>81</v>
      </c>
      <c r="AA16" s="71">
        <v>75</v>
      </c>
      <c r="AB16" s="71">
        <v>79</v>
      </c>
      <c r="AC16" s="71">
        <v>70</v>
      </c>
      <c r="AD16" s="71">
        <v>82</v>
      </c>
      <c r="AE16" s="71">
        <v>81</v>
      </c>
      <c r="AF16" s="71">
        <v>83</v>
      </c>
      <c r="AG16" s="71"/>
      <c r="AH16" s="71"/>
      <c r="AI16" s="71"/>
      <c r="AJ16" s="71"/>
      <c r="AK16" s="71"/>
      <c r="AL16" s="71"/>
      <c r="AM16" s="71"/>
      <c r="AN16" s="71"/>
      <c r="AO16" s="96" t="str">
        <f>tbl_learners_info[[#This Row],[Last Name, First Name, Middle Initial ]]</f>
        <v>HEMSWORTH, CHRIS ANDREW</v>
      </c>
      <c r="AP16" s="71">
        <v>81</v>
      </c>
      <c r="AQ16" s="71">
        <v>78</v>
      </c>
      <c r="AR16" s="71">
        <v>90</v>
      </c>
      <c r="AS16" s="71">
        <v>78</v>
      </c>
      <c r="AT16" s="71">
        <v>81</v>
      </c>
      <c r="AU16" s="71">
        <v>78</v>
      </c>
      <c r="AV16" s="71">
        <v>82</v>
      </c>
      <c r="AW16" s="71">
        <v>78</v>
      </c>
      <c r="AX16" s="71">
        <v>75</v>
      </c>
      <c r="AY16" s="71">
        <v>78</v>
      </c>
      <c r="AZ16" s="71">
        <v>81</v>
      </c>
      <c r="BA16" s="71">
        <v>78</v>
      </c>
      <c r="BB16" s="71">
        <v>82</v>
      </c>
      <c r="BC16" s="71">
        <v>78</v>
      </c>
      <c r="BD16" s="71"/>
      <c r="BE16" s="71"/>
      <c r="BF16" s="71"/>
      <c r="BG16" s="71"/>
      <c r="BH16" s="71"/>
      <c r="BI16" s="71"/>
      <c r="BJ16" s="96" t="str">
        <f>tbl_learners_info[[#This Row],[Last Name, First Name, Middle Initial ]]</f>
        <v>HEMSWORTH, CHRIS ANDREW</v>
      </c>
      <c r="BK16" s="71">
        <v>0</v>
      </c>
      <c r="BL16" s="71">
        <v>0</v>
      </c>
      <c r="BM16" s="71">
        <v>0</v>
      </c>
      <c r="BN16" s="71">
        <v>0</v>
      </c>
      <c r="BO16" s="71">
        <v>4</v>
      </c>
      <c r="BP16" s="71">
        <v>12</v>
      </c>
      <c r="BQ16" s="71">
        <v>0</v>
      </c>
      <c r="BR16" s="71">
        <v>0</v>
      </c>
      <c r="BS16" s="71">
        <v>0</v>
      </c>
      <c r="BT16" s="71">
        <v>0</v>
      </c>
      <c r="BU16" s="71">
        <v>0</v>
      </c>
    </row>
    <row r="17" spans="3:73" ht="19.95" customHeight="1" x14ac:dyDescent="0.3">
      <c r="C17" s="4">
        <v>127944120198</v>
      </c>
      <c r="D17" s="7" t="s">
        <v>234</v>
      </c>
      <c r="E17" s="7" t="s">
        <v>231</v>
      </c>
      <c r="F17" s="5" t="s">
        <v>235</v>
      </c>
      <c r="G17" s="5"/>
      <c r="H17" s="5" t="s">
        <v>146</v>
      </c>
      <c r="I17" s="6">
        <v>38015</v>
      </c>
      <c r="J17" s="6">
        <v>45168</v>
      </c>
      <c r="K17" s="8" t="s">
        <v>8</v>
      </c>
      <c r="L17" s="64">
        <v>80</v>
      </c>
      <c r="M17" s="6">
        <v>44011</v>
      </c>
      <c r="N17" s="75" t="s">
        <v>143</v>
      </c>
      <c r="O17" s="74" t="s">
        <v>147</v>
      </c>
      <c r="P1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HIDDLESTON, TOM E.</v>
      </c>
      <c r="Q1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HIDDLESTON, TOM EDWARD</v>
      </c>
      <c r="R17" s="94">
        <f ca="1">IF(tbl_learners_info[[#This Row],[Date of Birth]]&lt;&gt;0,DATEDIF(tbl_learners_info[[#This Row],[Date of Birth]], TODAY(), "Y"),"")</f>
        <v>21</v>
      </c>
      <c r="S17" s="95" t="str">
        <f>IF(tbl_learners_info[[#This Row],[Name of Previous School]]&lt;&gt;"",IF(tbl_learners_info[[#This Row],[Name of Previous School]]="EAST GUSA NATIONAL HIGH SCHOOL","NO","YES"),"")</f>
        <v>NO</v>
      </c>
      <c r="T17" s="96" t="str">
        <f>tbl_learners_info[[#This Row],[Full Name (Spelled Out)]]</f>
        <v>HIDDLESTON, TOM EDWARD</v>
      </c>
      <c r="U17" s="71">
        <v>84</v>
      </c>
      <c r="V17" s="71">
        <v>84</v>
      </c>
      <c r="W17" s="71">
        <v>78</v>
      </c>
      <c r="X17" s="71">
        <v>79</v>
      </c>
      <c r="Y17" s="71">
        <v>92</v>
      </c>
      <c r="Z17" s="71">
        <v>87</v>
      </c>
      <c r="AA17" s="71">
        <v>75</v>
      </c>
      <c r="AB17" s="71">
        <v>81</v>
      </c>
      <c r="AC17" s="71">
        <v>75</v>
      </c>
      <c r="AD17" s="71">
        <v>92</v>
      </c>
      <c r="AE17" s="71">
        <v>84</v>
      </c>
      <c r="AF17" s="71">
        <v>87</v>
      </c>
      <c r="AG17" s="71"/>
      <c r="AH17" s="71"/>
      <c r="AI17" s="71"/>
      <c r="AJ17" s="71"/>
      <c r="AK17" s="71"/>
      <c r="AL17" s="71"/>
      <c r="AM17" s="71"/>
      <c r="AN17" s="71"/>
      <c r="AO17" s="96" t="str">
        <f>tbl_learners_info[[#This Row],[Last Name, First Name, Middle Initial ]]</f>
        <v>HIDDLESTON, TOM EDWARD</v>
      </c>
      <c r="AP17" s="71">
        <v>88</v>
      </c>
      <c r="AQ17" s="71">
        <v>89</v>
      </c>
      <c r="AR17" s="71">
        <v>91</v>
      </c>
      <c r="AS17" s="71">
        <v>90</v>
      </c>
      <c r="AT17" s="71">
        <v>85</v>
      </c>
      <c r="AU17" s="71">
        <v>88</v>
      </c>
      <c r="AV17" s="71">
        <v>89</v>
      </c>
      <c r="AW17" s="71">
        <v>90</v>
      </c>
      <c r="AX17" s="71">
        <v>75</v>
      </c>
      <c r="AY17" s="71">
        <v>90</v>
      </c>
      <c r="AZ17" s="71">
        <v>85</v>
      </c>
      <c r="BA17" s="71">
        <v>91</v>
      </c>
      <c r="BB17" s="71">
        <v>86</v>
      </c>
      <c r="BC17" s="71">
        <v>90</v>
      </c>
      <c r="BD17" s="71"/>
      <c r="BE17" s="71"/>
      <c r="BF17" s="71"/>
      <c r="BG17" s="71"/>
      <c r="BH17" s="71"/>
      <c r="BI17" s="71"/>
      <c r="BJ17" s="96" t="str">
        <f>tbl_learners_info[[#This Row],[Last Name, First Name, Middle Initial ]]</f>
        <v>HIDDLESTON, TOM EDWARD</v>
      </c>
      <c r="BK17" s="71">
        <v>0</v>
      </c>
      <c r="BL17" s="71">
        <v>0</v>
      </c>
      <c r="BM17" s="71">
        <v>0</v>
      </c>
      <c r="BN17" s="71">
        <v>0</v>
      </c>
      <c r="BO17" s="71">
        <v>3</v>
      </c>
      <c r="BP17" s="71">
        <v>11</v>
      </c>
      <c r="BQ17" s="71">
        <v>5</v>
      </c>
      <c r="BR17" s="71">
        <v>0</v>
      </c>
      <c r="BS17" s="71">
        <v>0</v>
      </c>
      <c r="BT17" s="71">
        <v>0</v>
      </c>
      <c r="BU17" s="71">
        <v>0</v>
      </c>
    </row>
    <row r="18" spans="3:73" ht="19.95" customHeight="1" x14ac:dyDescent="0.3">
      <c r="C18" s="4">
        <v>127942120965</v>
      </c>
      <c r="D18" s="7" t="s">
        <v>236</v>
      </c>
      <c r="E18" s="7" t="s">
        <v>231</v>
      </c>
      <c r="F18" s="5" t="s">
        <v>237</v>
      </c>
      <c r="G18" s="5"/>
      <c r="H18" s="5" t="s">
        <v>146</v>
      </c>
      <c r="I18" s="6">
        <v>38926</v>
      </c>
      <c r="J18" s="6">
        <v>45168</v>
      </c>
      <c r="K18" s="9" t="s">
        <v>17</v>
      </c>
      <c r="L18" s="64">
        <v>90.38</v>
      </c>
      <c r="M18" s="6">
        <v>44741</v>
      </c>
      <c r="N18" s="75" t="s">
        <v>152</v>
      </c>
      <c r="O18" s="74" t="s">
        <v>153</v>
      </c>
      <c r="P1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HOLLAND, TOM S.</v>
      </c>
      <c r="Q1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HOLLAND, TOM STANLEY</v>
      </c>
      <c r="R18" s="94">
        <f ca="1">IF(tbl_learners_info[[#This Row],[Date of Birth]]&lt;&gt;0,DATEDIF(tbl_learners_info[[#This Row],[Date of Birth]], TODAY(), "Y"),"")</f>
        <v>19</v>
      </c>
      <c r="S18" s="95" t="str">
        <f>IF(tbl_learners_info[[#This Row],[Name of Previous School]]&lt;&gt;"",IF(tbl_learners_info[[#This Row],[Name of Previous School]]="EAST GUSA NATIONAL HIGH SCHOOL","NO","YES"),"")</f>
        <v>YES</v>
      </c>
      <c r="T18" s="96" t="str">
        <f>tbl_learners_info[[#This Row],[Full Name (Spelled Out)]]</f>
        <v>HOLLAND, TOM STANLEY</v>
      </c>
      <c r="U18" s="71">
        <v>88</v>
      </c>
      <c r="V18" s="71">
        <v>93</v>
      </c>
      <c r="W18" s="71">
        <v>88</v>
      </c>
      <c r="X18" s="71">
        <v>90</v>
      </c>
      <c r="Y18" s="71">
        <v>91</v>
      </c>
      <c r="Z18" s="71">
        <v>87</v>
      </c>
      <c r="AA18" s="71">
        <v>91</v>
      </c>
      <c r="AB18" s="71">
        <v>87</v>
      </c>
      <c r="AC18" s="71">
        <v>83</v>
      </c>
      <c r="AD18" s="71">
        <v>95</v>
      </c>
      <c r="AE18" s="71">
        <v>91</v>
      </c>
      <c r="AF18" s="71">
        <v>94</v>
      </c>
      <c r="AG18" s="71"/>
      <c r="AH18" s="71"/>
      <c r="AI18" s="71"/>
      <c r="AJ18" s="71"/>
      <c r="AK18" s="71"/>
      <c r="AL18" s="71"/>
      <c r="AM18" s="71"/>
      <c r="AN18" s="71"/>
      <c r="AO18" s="96" t="str">
        <f>tbl_learners_info[[#This Row],[Last Name, First Name, Middle Initial ]]</f>
        <v>HOLLAND, TOM STANLEY</v>
      </c>
      <c r="AP18" s="71">
        <v>90</v>
      </c>
      <c r="AQ18" s="71">
        <v>93</v>
      </c>
      <c r="AR18" s="71">
        <v>92</v>
      </c>
      <c r="AS18" s="71">
        <v>91</v>
      </c>
      <c r="AT18" s="71">
        <v>88</v>
      </c>
      <c r="AU18" s="71">
        <v>90</v>
      </c>
      <c r="AV18" s="71">
        <v>92</v>
      </c>
      <c r="AW18" s="71">
        <v>91</v>
      </c>
      <c r="AX18" s="71">
        <v>77</v>
      </c>
      <c r="AY18" s="71">
        <v>90</v>
      </c>
      <c r="AZ18" s="71">
        <v>91</v>
      </c>
      <c r="BA18" s="71">
        <v>93</v>
      </c>
      <c r="BB18" s="71">
        <v>88</v>
      </c>
      <c r="BC18" s="71">
        <v>91</v>
      </c>
      <c r="BD18" s="71"/>
      <c r="BE18" s="71"/>
      <c r="BF18" s="71"/>
      <c r="BG18" s="71"/>
      <c r="BH18" s="71"/>
      <c r="BI18" s="71"/>
      <c r="BJ18" s="96" t="str">
        <f>tbl_learners_info[[#This Row],[Last Name, First Name, Middle Initial ]]</f>
        <v>HOLLAND, TOM STANLEY</v>
      </c>
      <c r="BK18" s="71">
        <v>0</v>
      </c>
      <c r="BL18" s="71">
        <v>0</v>
      </c>
      <c r="BM18" s="71">
        <v>0</v>
      </c>
      <c r="BN18" s="71">
        <v>0</v>
      </c>
      <c r="BO18" s="71">
        <v>0</v>
      </c>
      <c r="BP18" s="71">
        <v>0</v>
      </c>
      <c r="BQ18" s="71">
        <v>1</v>
      </c>
      <c r="BR18" s="71">
        <v>0</v>
      </c>
      <c r="BS18" s="71">
        <v>0</v>
      </c>
      <c r="BT18" s="71">
        <v>0</v>
      </c>
      <c r="BU18" s="71">
        <v>0</v>
      </c>
    </row>
    <row r="19" spans="3:73" ht="19.95" customHeight="1" x14ac:dyDescent="0.3">
      <c r="C19" s="4">
        <v>127944121546</v>
      </c>
      <c r="D19" s="7" t="s">
        <v>238</v>
      </c>
      <c r="E19" s="7" t="s">
        <v>239</v>
      </c>
      <c r="F19" s="5" t="s">
        <v>240</v>
      </c>
      <c r="G19" s="5"/>
      <c r="H19" s="5" t="s">
        <v>146</v>
      </c>
      <c r="I19" s="6">
        <v>37736</v>
      </c>
      <c r="J19" s="6">
        <v>45168</v>
      </c>
      <c r="K19" s="8" t="s">
        <v>8</v>
      </c>
      <c r="L19" s="64">
        <v>77</v>
      </c>
      <c r="M19" s="6">
        <v>44740</v>
      </c>
      <c r="N19" s="75" t="s">
        <v>154</v>
      </c>
      <c r="O19" s="74" t="s">
        <v>155</v>
      </c>
      <c r="P1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JACKMAN, HUGH M.</v>
      </c>
      <c r="Q1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JACKMAN, HUGH MICHAEL</v>
      </c>
      <c r="R19" s="94">
        <f ca="1">IF(tbl_learners_info[[#This Row],[Date of Birth]]&lt;&gt;0,DATEDIF(tbl_learners_info[[#This Row],[Date of Birth]], TODAY(), "Y"),"")</f>
        <v>22</v>
      </c>
      <c r="S19" s="95" t="str">
        <f>IF(tbl_learners_info[[#This Row],[Name of Previous School]]&lt;&gt;"",IF(tbl_learners_info[[#This Row],[Name of Previous School]]="EAST GUSA NATIONAL HIGH SCHOOL","NO","YES"),"")</f>
        <v>YES</v>
      </c>
      <c r="T19" s="96" t="str">
        <f>tbl_learners_info[[#This Row],[Full Name (Spelled Out)]]</f>
        <v>JACKMAN, HUGH MICHAEL</v>
      </c>
      <c r="U19" s="71">
        <v>87</v>
      </c>
      <c r="V19" s="71">
        <v>87</v>
      </c>
      <c r="W19" s="71">
        <v>81</v>
      </c>
      <c r="X19" s="71">
        <v>80</v>
      </c>
      <c r="Y19" s="71">
        <v>89</v>
      </c>
      <c r="Z19" s="71">
        <v>87</v>
      </c>
      <c r="AA19" s="71">
        <v>83</v>
      </c>
      <c r="AB19" s="71">
        <v>82</v>
      </c>
      <c r="AC19" s="71">
        <v>85</v>
      </c>
      <c r="AD19" s="71">
        <v>94</v>
      </c>
      <c r="AE19" s="71">
        <v>83</v>
      </c>
      <c r="AF19" s="71">
        <v>87</v>
      </c>
      <c r="AG19" s="71"/>
      <c r="AH19" s="71"/>
      <c r="AI19" s="71"/>
      <c r="AJ19" s="71"/>
      <c r="AK19" s="71"/>
      <c r="AL19" s="71"/>
      <c r="AM19" s="71"/>
      <c r="AN19" s="71"/>
      <c r="AO19" s="96" t="str">
        <f>tbl_learners_info[[#This Row],[Last Name, First Name, Middle Initial ]]</f>
        <v>JACKMAN, HUGH MICHAEL</v>
      </c>
      <c r="AP19" s="71">
        <v>80</v>
      </c>
      <c r="AQ19" s="71">
        <v>80</v>
      </c>
      <c r="AR19" s="71">
        <v>91</v>
      </c>
      <c r="AS19" s="71">
        <v>80</v>
      </c>
      <c r="AT19" s="71">
        <v>83</v>
      </c>
      <c r="AU19" s="71">
        <v>81</v>
      </c>
      <c r="AV19" s="71">
        <v>86</v>
      </c>
      <c r="AW19" s="71">
        <v>81</v>
      </c>
      <c r="AX19" s="71">
        <v>87</v>
      </c>
      <c r="AY19" s="71">
        <v>82</v>
      </c>
      <c r="AZ19" s="71">
        <v>81</v>
      </c>
      <c r="BA19" s="71">
        <v>81</v>
      </c>
      <c r="BB19" s="71">
        <v>85</v>
      </c>
      <c r="BC19" s="71">
        <v>81</v>
      </c>
      <c r="BD19" s="71"/>
      <c r="BE19" s="71"/>
      <c r="BF19" s="71"/>
      <c r="BG19" s="71"/>
      <c r="BH19" s="71"/>
      <c r="BI19" s="71"/>
      <c r="BJ19" s="96" t="str">
        <f>tbl_learners_info[[#This Row],[Last Name, First Name, Middle Initial ]]</f>
        <v>JACKMAN, HUGH MICHAEL</v>
      </c>
      <c r="BK19" s="71">
        <v>0</v>
      </c>
      <c r="BL19" s="71">
        <v>0</v>
      </c>
      <c r="BM19" s="71">
        <v>0</v>
      </c>
      <c r="BN19" s="71">
        <v>0</v>
      </c>
      <c r="BO19" s="71">
        <v>0</v>
      </c>
      <c r="BP19" s="71">
        <v>0</v>
      </c>
      <c r="BQ19" s="71">
        <v>0</v>
      </c>
      <c r="BR19" s="71">
        <v>0</v>
      </c>
      <c r="BS19" s="71">
        <v>0</v>
      </c>
      <c r="BT19" s="71">
        <v>0</v>
      </c>
      <c r="BU19" s="71">
        <v>0</v>
      </c>
    </row>
    <row r="20" spans="3:73" ht="19.95" customHeight="1" x14ac:dyDescent="0.3">
      <c r="C20" s="4">
        <v>127944121537</v>
      </c>
      <c r="D20" s="7" t="s">
        <v>241</v>
      </c>
      <c r="E20" s="7" t="s">
        <v>242</v>
      </c>
      <c r="F20" s="5" t="s">
        <v>243</v>
      </c>
      <c r="G20" s="5"/>
      <c r="H20" s="5" t="s">
        <v>146</v>
      </c>
      <c r="I20" s="6">
        <v>37917</v>
      </c>
      <c r="J20" s="6">
        <v>45168</v>
      </c>
      <c r="K20" s="9" t="s">
        <v>8</v>
      </c>
      <c r="L20" s="64">
        <v>87</v>
      </c>
      <c r="M20" s="6">
        <v>44741</v>
      </c>
      <c r="N20" s="75" t="s">
        <v>143</v>
      </c>
      <c r="O20" s="74" t="s">
        <v>147</v>
      </c>
      <c r="P2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LAST NAME, FIRST NAME M.</v>
      </c>
      <c r="Q2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LAST NAME, FIRST NAME MIDDLE NAME</v>
      </c>
      <c r="R20" s="94">
        <f ca="1">IF(tbl_learners_info[[#This Row],[Date of Birth]]&lt;&gt;0,DATEDIF(tbl_learners_info[[#This Row],[Date of Birth]], TODAY(), "Y"),"")</f>
        <v>21</v>
      </c>
      <c r="S20" s="95" t="str">
        <f>IF(tbl_learners_info[[#This Row],[Name of Previous School]]&lt;&gt;"",IF(tbl_learners_info[[#This Row],[Name of Previous School]]="EAST GUSA NATIONAL HIGH SCHOOL","NO","YES"),"")</f>
        <v>NO</v>
      </c>
      <c r="T20" s="96" t="str">
        <f>tbl_learners_info[[#This Row],[Full Name (Spelled Out)]]</f>
        <v>LAST NAME, FIRST NAME MIDDLE NAME</v>
      </c>
      <c r="U20" s="71">
        <v>88</v>
      </c>
      <c r="V20" s="71">
        <v>89</v>
      </c>
      <c r="W20" s="71">
        <v>82</v>
      </c>
      <c r="X20" s="71">
        <v>85</v>
      </c>
      <c r="Y20" s="71">
        <v>92</v>
      </c>
      <c r="Z20" s="71">
        <v>87</v>
      </c>
      <c r="AA20" s="71">
        <v>87</v>
      </c>
      <c r="AB20" s="71">
        <v>84</v>
      </c>
      <c r="AC20" s="71">
        <v>91</v>
      </c>
      <c r="AD20" s="71">
        <v>97</v>
      </c>
      <c r="AE20" s="71">
        <v>93</v>
      </c>
      <c r="AF20" s="71">
        <v>95</v>
      </c>
      <c r="AG20" s="71"/>
      <c r="AH20" s="71"/>
      <c r="AI20" s="71"/>
      <c r="AJ20" s="71"/>
      <c r="AK20" s="71"/>
      <c r="AL20" s="71"/>
      <c r="AM20" s="71"/>
      <c r="AN20" s="71"/>
      <c r="AO20" s="96" t="str">
        <f>tbl_learners_info[[#This Row],[Last Name, First Name, Middle Initial ]]</f>
        <v>LAST NAME, FIRST NAME MIDDLE NAME</v>
      </c>
      <c r="AP20" s="71">
        <v>80</v>
      </c>
      <c r="AQ20" s="71">
        <v>82</v>
      </c>
      <c r="AR20" s="71">
        <v>91</v>
      </c>
      <c r="AS20" s="71">
        <v>83</v>
      </c>
      <c r="AT20" s="71">
        <v>84</v>
      </c>
      <c r="AU20" s="71">
        <v>81</v>
      </c>
      <c r="AV20" s="71">
        <v>90</v>
      </c>
      <c r="AW20" s="71">
        <v>81</v>
      </c>
      <c r="AX20" s="71">
        <v>88</v>
      </c>
      <c r="AY20" s="71">
        <v>83</v>
      </c>
      <c r="AZ20" s="71">
        <v>92</v>
      </c>
      <c r="BA20" s="71">
        <v>83</v>
      </c>
      <c r="BB20" s="71">
        <v>88</v>
      </c>
      <c r="BC20" s="71">
        <v>82</v>
      </c>
      <c r="BD20" s="71"/>
      <c r="BE20" s="71"/>
      <c r="BF20" s="71"/>
      <c r="BG20" s="71"/>
      <c r="BH20" s="71"/>
      <c r="BI20" s="71"/>
      <c r="BJ20" s="96" t="str">
        <f>tbl_learners_info[[#This Row],[Last Name, First Name, Middle Initial ]]</f>
        <v>LAST NAME, FIRST NAME MIDDLE NAME</v>
      </c>
      <c r="BK20" s="71">
        <v>0</v>
      </c>
      <c r="BL20" s="71">
        <v>0</v>
      </c>
      <c r="BM20" s="71">
        <v>0</v>
      </c>
      <c r="BN20" s="71">
        <v>0</v>
      </c>
      <c r="BO20" s="71">
        <v>0</v>
      </c>
      <c r="BP20" s="71">
        <v>0</v>
      </c>
      <c r="BQ20" s="71">
        <v>0</v>
      </c>
      <c r="BR20" s="71">
        <v>0</v>
      </c>
      <c r="BS20" s="71">
        <v>0</v>
      </c>
      <c r="BT20" s="71">
        <v>0</v>
      </c>
      <c r="BU20" s="71">
        <v>0</v>
      </c>
    </row>
    <row r="21" spans="3:73" ht="19.95" customHeight="1" x14ac:dyDescent="0.3">
      <c r="C21" s="4">
        <v>127944110091</v>
      </c>
      <c r="D21" s="7" t="s">
        <v>244</v>
      </c>
      <c r="E21" s="7" t="s">
        <v>223</v>
      </c>
      <c r="F21" s="5" t="s">
        <v>245</v>
      </c>
      <c r="G21" s="5"/>
      <c r="H21" s="5" t="s">
        <v>146</v>
      </c>
      <c r="I21" s="6">
        <v>38878</v>
      </c>
      <c r="J21" s="6">
        <v>45168</v>
      </c>
      <c r="K21" s="8" t="s">
        <v>8</v>
      </c>
      <c r="L21" s="64">
        <v>81</v>
      </c>
      <c r="M21" s="6">
        <v>44741</v>
      </c>
      <c r="N21" s="75" t="s">
        <v>143</v>
      </c>
      <c r="O21" s="74" t="s">
        <v>147</v>
      </c>
      <c r="P2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PATTINSON, ROBERT D.</v>
      </c>
      <c r="Q2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PATTINSON, ROBERT DOUGLAS</v>
      </c>
      <c r="R21" s="94">
        <f ca="1">IF(tbl_learners_info[[#This Row],[Date of Birth]]&lt;&gt;0,DATEDIF(tbl_learners_info[[#This Row],[Date of Birth]], TODAY(), "Y"),"")</f>
        <v>19</v>
      </c>
      <c r="S21" s="95" t="str">
        <f>IF(tbl_learners_info[[#This Row],[Name of Previous School]]&lt;&gt;"",IF(tbl_learners_info[[#This Row],[Name of Previous School]]="EAST GUSA NATIONAL HIGH SCHOOL","NO","YES"),"")</f>
        <v>NO</v>
      </c>
      <c r="T21" s="96" t="str">
        <f>tbl_learners_info[[#This Row],[Full Name (Spelled Out)]]</f>
        <v>PATTINSON, ROBERT DOUGLAS</v>
      </c>
      <c r="U21" s="71">
        <v>81</v>
      </c>
      <c r="V21" s="71">
        <v>78</v>
      </c>
      <c r="W21" s="71">
        <v>75</v>
      </c>
      <c r="X21" s="71">
        <v>75</v>
      </c>
      <c r="Y21" s="71">
        <v>91</v>
      </c>
      <c r="Z21" s="71">
        <v>87</v>
      </c>
      <c r="AA21" s="71">
        <v>75</v>
      </c>
      <c r="AB21" s="71">
        <v>81</v>
      </c>
      <c r="AC21" s="71">
        <v>89</v>
      </c>
      <c r="AD21" s="71">
        <v>92</v>
      </c>
      <c r="AE21" s="71">
        <v>82</v>
      </c>
      <c r="AF21" s="71">
        <v>86</v>
      </c>
      <c r="AG21" s="71"/>
      <c r="AH21" s="71"/>
      <c r="AI21" s="71"/>
      <c r="AJ21" s="71"/>
      <c r="AK21" s="71"/>
      <c r="AL21" s="71"/>
      <c r="AM21" s="71"/>
      <c r="AN21" s="71"/>
      <c r="AO21" s="96" t="str">
        <f>tbl_learners_info[[#This Row],[Last Name, First Name, Middle Initial ]]</f>
        <v>PATTINSON, ROBERT DOUGLAS</v>
      </c>
      <c r="AP21" s="71">
        <v>80</v>
      </c>
      <c r="AQ21" s="71">
        <v>82</v>
      </c>
      <c r="AR21" s="71">
        <v>91</v>
      </c>
      <c r="AS21" s="71">
        <v>80</v>
      </c>
      <c r="AT21" s="71">
        <v>83</v>
      </c>
      <c r="AU21" s="71">
        <v>81</v>
      </c>
      <c r="AV21" s="71">
        <v>85</v>
      </c>
      <c r="AW21" s="71">
        <v>83</v>
      </c>
      <c r="AX21" s="71">
        <v>75</v>
      </c>
      <c r="AY21" s="71">
        <v>80</v>
      </c>
      <c r="AZ21" s="71">
        <v>85</v>
      </c>
      <c r="BA21" s="71">
        <v>83</v>
      </c>
      <c r="BB21" s="71">
        <v>83</v>
      </c>
      <c r="BC21" s="71">
        <v>82</v>
      </c>
      <c r="BD21" s="71"/>
      <c r="BE21" s="71"/>
      <c r="BF21" s="71"/>
      <c r="BG21" s="71"/>
      <c r="BH21" s="71"/>
      <c r="BI21" s="71"/>
      <c r="BJ21" s="96" t="str">
        <f>tbl_learners_info[[#This Row],[Last Name, First Name, Middle Initial ]]</f>
        <v>PATTINSON, ROBERT DOUGLAS</v>
      </c>
      <c r="BK21" s="71">
        <v>0</v>
      </c>
      <c r="BL21" s="71">
        <v>0</v>
      </c>
      <c r="BM21" s="71">
        <v>0</v>
      </c>
      <c r="BN21" s="71">
        <v>0</v>
      </c>
      <c r="BO21" s="71">
        <v>5</v>
      </c>
      <c r="BP21" s="71">
        <v>0</v>
      </c>
      <c r="BQ21" s="71">
        <v>2</v>
      </c>
      <c r="BR21" s="71">
        <v>0</v>
      </c>
      <c r="BS21" s="71">
        <v>0</v>
      </c>
      <c r="BT21" s="71">
        <v>0</v>
      </c>
      <c r="BU21" s="71">
        <v>0</v>
      </c>
    </row>
    <row r="22" spans="3:73" ht="19.95" customHeight="1" x14ac:dyDescent="0.3">
      <c r="C22" s="4">
        <v>127944121446</v>
      </c>
      <c r="D22" s="7" t="s">
        <v>246</v>
      </c>
      <c r="E22" s="7" t="s">
        <v>222</v>
      </c>
      <c r="F22" s="5" t="s">
        <v>240</v>
      </c>
      <c r="G22" s="5"/>
      <c r="H22" s="5" t="s">
        <v>146</v>
      </c>
      <c r="I22" s="6">
        <v>38566</v>
      </c>
      <c r="J22" s="6">
        <v>45168</v>
      </c>
      <c r="K22" s="9" t="s">
        <v>8</v>
      </c>
      <c r="L22" s="64">
        <v>83</v>
      </c>
      <c r="M22" s="6">
        <v>44741</v>
      </c>
      <c r="N22" s="75" t="s">
        <v>196</v>
      </c>
      <c r="O22" s="74" t="s">
        <v>197</v>
      </c>
      <c r="P2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PINE, CHRIS M.</v>
      </c>
      <c r="Q2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PINE, CHRIS MICHAEL</v>
      </c>
      <c r="R22" s="94">
        <f ca="1">IF(tbl_learners_info[[#This Row],[Date of Birth]]&lt;&gt;0,DATEDIF(tbl_learners_info[[#This Row],[Date of Birth]], TODAY(), "Y"),"")</f>
        <v>20</v>
      </c>
      <c r="S22" s="95" t="str">
        <f>IF(tbl_learners_info[[#This Row],[Name of Previous School]]&lt;&gt;"",IF(tbl_learners_info[[#This Row],[Name of Previous School]]="EAST GUSA NATIONAL HIGH SCHOOL","NO","YES"),"")</f>
        <v>YES</v>
      </c>
      <c r="T22" s="96" t="str">
        <f>tbl_learners_info[[#This Row],[Full Name (Spelled Out)]]</f>
        <v>PINE, CHRIS MICHAEL</v>
      </c>
      <c r="U22" s="71">
        <v>75</v>
      </c>
      <c r="V22" s="71">
        <v>75</v>
      </c>
      <c r="W22" s="71">
        <v>75</v>
      </c>
      <c r="X22" s="71">
        <v>75</v>
      </c>
      <c r="Y22" s="71">
        <v>89</v>
      </c>
      <c r="Z22" s="71">
        <v>82</v>
      </c>
      <c r="AA22" s="71">
        <v>75</v>
      </c>
      <c r="AB22" s="71">
        <v>75</v>
      </c>
      <c r="AC22" s="71">
        <v>75</v>
      </c>
      <c r="AD22" s="71">
        <v>87</v>
      </c>
      <c r="AE22" s="71">
        <v>81</v>
      </c>
      <c r="AF22" s="71">
        <v>86</v>
      </c>
      <c r="AG22" s="71"/>
      <c r="AH22" s="71"/>
      <c r="AI22" s="71"/>
      <c r="AJ22" s="71"/>
      <c r="AK22" s="71"/>
      <c r="AL22" s="71"/>
      <c r="AM22" s="71"/>
      <c r="AN22" s="71"/>
      <c r="AO22" s="96" t="str">
        <f>tbl_learners_info[[#This Row],[Last Name, First Name, Middle Initial ]]</f>
        <v>PINE, CHRIS MICHAEL</v>
      </c>
      <c r="AP22" s="71">
        <v>80</v>
      </c>
      <c r="AQ22" s="71">
        <v>83</v>
      </c>
      <c r="AR22" s="71">
        <v>91</v>
      </c>
      <c r="AS22" s="71">
        <v>80</v>
      </c>
      <c r="AT22" s="71">
        <v>78</v>
      </c>
      <c r="AU22" s="71">
        <v>83</v>
      </c>
      <c r="AV22" s="71">
        <v>84</v>
      </c>
      <c r="AW22" s="71">
        <v>80</v>
      </c>
      <c r="AX22" s="71">
        <v>83</v>
      </c>
      <c r="AY22" s="71">
        <v>81</v>
      </c>
      <c r="AZ22" s="71">
        <v>82</v>
      </c>
      <c r="BA22" s="71">
        <v>83</v>
      </c>
      <c r="BB22" s="71">
        <v>83</v>
      </c>
      <c r="BC22" s="71">
        <v>82</v>
      </c>
      <c r="BD22" s="71"/>
      <c r="BE22" s="71"/>
      <c r="BF22" s="71"/>
      <c r="BG22" s="71"/>
      <c r="BH22" s="71"/>
      <c r="BI22" s="71"/>
      <c r="BJ22" s="96" t="str">
        <f>tbl_learners_info[[#This Row],[Last Name, First Name, Middle Initial ]]</f>
        <v>PINE, CHRIS MICHAEL</v>
      </c>
      <c r="BK22" s="71">
        <v>0</v>
      </c>
      <c r="BL22" s="71">
        <v>0</v>
      </c>
      <c r="BM22" s="71">
        <v>0</v>
      </c>
      <c r="BN22" s="71">
        <v>0</v>
      </c>
      <c r="BO22" s="71">
        <v>3</v>
      </c>
      <c r="BP22" s="71">
        <v>6</v>
      </c>
      <c r="BQ22" s="71">
        <v>0</v>
      </c>
      <c r="BR22" s="71">
        <v>0</v>
      </c>
      <c r="BS22" s="71">
        <v>0</v>
      </c>
      <c r="BT22" s="71">
        <v>0</v>
      </c>
      <c r="BU22" s="71">
        <v>0</v>
      </c>
    </row>
    <row r="23" spans="3:73" ht="19.95" customHeight="1" x14ac:dyDescent="0.3">
      <c r="C23" s="4">
        <v>131901110005</v>
      </c>
      <c r="D23" s="7" t="s">
        <v>247</v>
      </c>
      <c r="E23" s="7" t="s">
        <v>222</v>
      </c>
      <c r="F23" s="5" t="s">
        <v>248</v>
      </c>
      <c r="G23" s="5"/>
      <c r="H23" s="5" t="s">
        <v>146</v>
      </c>
      <c r="I23" s="6">
        <v>38442</v>
      </c>
      <c r="J23" s="6">
        <v>45168</v>
      </c>
      <c r="K23" s="8" t="s">
        <v>8</v>
      </c>
      <c r="L23" s="64">
        <v>81</v>
      </c>
      <c r="M23" s="6">
        <v>44741</v>
      </c>
      <c r="N23" s="75" t="s">
        <v>143</v>
      </c>
      <c r="O23" s="74" t="s">
        <v>147</v>
      </c>
      <c r="P2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PRATT, CHRIS A.</v>
      </c>
      <c r="Q2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PRATT, CHRIS ALLEN</v>
      </c>
      <c r="R23" s="94">
        <f ca="1">IF(tbl_learners_info[[#This Row],[Date of Birth]]&lt;&gt;0,DATEDIF(tbl_learners_info[[#This Row],[Date of Birth]], TODAY(), "Y"),"")</f>
        <v>20</v>
      </c>
      <c r="S23" s="95" t="str">
        <f>IF(tbl_learners_info[[#This Row],[Name of Previous School]]&lt;&gt;"",IF(tbl_learners_info[[#This Row],[Name of Previous School]]="EAST GUSA NATIONAL HIGH SCHOOL","NO","YES"),"")</f>
        <v>NO</v>
      </c>
      <c r="T23" s="96" t="str">
        <f>tbl_learners_info[[#This Row],[Full Name (Spelled Out)]]</f>
        <v>PRATT, CHRIS ALLEN</v>
      </c>
      <c r="U23" s="71">
        <v>84</v>
      </c>
      <c r="V23" s="71">
        <v>77</v>
      </c>
      <c r="W23" s="71">
        <v>82</v>
      </c>
      <c r="X23" s="71">
        <v>80</v>
      </c>
      <c r="Y23" s="71">
        <v>89</v>
      </c>
      <c r="Z23" s="71">
        <v>85</v>
      </c>
      <c r="AA23" s="71">
        <v>87</v>
      </c>
      <c r="AB23" s="71">
        <v>84</v>
      </c>
      <c r="AC23" s="71">
        <v>91</v>
      </c>
      <c r="AD23" s="71">
        <v>95</v>
      </c>
      <c r="AE23" s="71">
        <v>84</v>
      </c>
      <c r="AF23" s="71">
        <v>88</v>
      </c>
      <c r="AG23" s="71"/>
      <c r="AH23" s="71"/>
      <c r="AI23" s="71"/>
      <c r="AJ23" s="71"/>
      <c r="AK23" s="71"/>
      <c r="AL23" s="71"/>
      <c r="AM23" s="71"/>
      <c r="AN23" s="71"/>
      <c r="AO23" s="96" t="str">
        <f>tbl_learners_info[[#This Row],[Last Name, First Name, Middle Initial ]]</f>
        <v>PRATT, CHRIS ALLEN</v>
      </c>
      <c r="AP23" s="71">
        <v>89</v>
      </c>
      <c r="AQ23" s="71">
        <v>90</v>
      </c>
      <c r="AR23" s="71">
        <v>91</v>
      </c>
      <c r="AS23" s="71">
        <v>92</v>
      </c>
      <c r="AT23" s="71">
        <v>81</v>
      </c>
      <c r="AU23" s="71">
        <v>92</v>
      </c>
      <c r="AV23" s="71">
        <v>86</v>
      </c>
      <c r="AW23" s="71">
        <v>90</v>
      </c>
      <c r="AX23" s="71">
        <v>80</v>
      </c>
      <c r="AY23" s="71">
        <v>89</v>
      </c>
      <c r="AZ23" s="71">
        <v>86</v>
      </c>
      <c r="BA23" s="71">
        <v>90</v>
      </c>
      <c r="BB23" s="71">
        <v>86</v>
      </c>
      <c r="BC23" s="71">
        <v>91</v>
      </c>
      <c r="BD23" s="71"/>
      <c r="BE23" s="71"/>
      <c r="BF23" s="71"/>
      <c r="BG23" s="71"/>
      <c r="BH23" s="71"/>
      <c r="BI23" s="71"/>
      <c r="BJ23" s="96" t="str">
        <f>tbl_learners_info[[#This Row],[Last Name, First Name, Middle Initial ]]</f>
        <v>PRATT, CHRIS ALLEN</v>
      </c>
      <c r="BK23" s="71">
        <v>0</v>
      </c>
      <c r="BL23" s="71">
        <v>0</v>
      </c>
      <c r="BM23" s="71">
        <v>0</v>
      </c>
      <c r="BN23" s="71">
        <v>0</v>
      </c>
      <c r="BO23" s="71">
        <v>0</v>
      </c>
      <c r="BP23" s="71">
        <v>2</v>
      </c>
      <c r="BQ23" s="71">
        <v>2</v>
      </c>
      <c r="BR23" s="71">
        <v>0</v>
      </c>
      <c r="BS23" s="71">
        <v>0</v>
      </c>
      <c r="BT23" s="71">
        <v>0</v>
      </c>
      <c r="BU23" s="71">
        <v>0</v>
      </c>
    </row>
    <row r="24" spans="3:73" ht="19.95" customHeight="1" x14ac:dyDescent="0.3">
      <c r="C24" s="4">
        <v>127944100134</v>
      </c>
      <c r="D24" s="7" t="s">
        <v>249</v>
      </c>
      <c r="E24" s="7" t="s">
        <v>250</v>
      </c>
      <c r="F24" s="5" t="s">
        <v>251</v>
      </c>
      <c r="G24" s="5"/>
      <c r="H24" s="5" t="s">
        <v>146</v>
      </c>
      <c r="I24" s="6">
        <v>38978</v>
      </c>
      <c r="J24" s="6">
        <v>45168</v>
      </c>
      <c r="K24" s="8" t="s">
        <v>8</v>
      </c>
      <c r="L24" s="64">
        <v>82</v>
      </c>
      <c r="M24" s="6">
        <v>44741</v>
      </c>
      <c r="N24" s="75" t="s">
        <v>143</v>
      </c>
      <c r="O24" s="74" t="s">
        <v>147</v>
      </c>
      <c r="P2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RADCLIFFE, DANIEL J.</v>
      </c>
      <c r="Q2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RADCLIFFE, DANIEL JACOB</v>
      </c>
      <c r="R24" s="94">
        <f ca="1">IF(tbl_learners_info[[#This Row],[Date of Birth]]&lt;&gt;0,DATEDIF(tbl_learners_info[[#This Row],[Date of Birth]], TODAY(), "Y"),"")</f>
        <v>19</v>
      </c>
      <c r="S24" s="95" t="str">
        <f>IF(tbl_learners_info[[#This Row],[Name of Previous School]]&lt;&gt;"",IF(tbl_learners_info[[#This Row],[Name of Previous School]]="EAST GUSA NATIONAL HIGH SCHOOL","NO","YES"),"")</f>
        <v>NO</v>
      </c>
      <c r="T24" s="96" t="str">
        <f>tbl_learners_info[[#This Row],[Full Name (Spelled Out)]]</f>
        <v>RADCLIFFE, DANIEL JACOB</v>
      </c>
      <c r="U24" s="71">
        <v>87</v>
      </c>
      <c r="V24" s="71">
        <v>90</v>
      </c>
      <c r="W24" s="71">
        <v>91</v>
      </c>
      <c r="X24" s="71">
        <v>92</v>
      </c>
      <c r="Y24" s="71">
        <v>91</v>
      </c>
      <c r="Z24" s="71">
        <v>88</v>
      </c>
      <c r="AA24" s="71">
        <v>95</v>
      </c>
      <c r="AB24" s="71">
        <v>91</v>
      </c>
      <c r="AC24" s="71">
        <v>91</v>
      </c>
      <c r="AD24" s="71">
        <v>95</v>
      </c>
      <c r="AE24" s="71">
        <v>91</v>
      </c>
      <c r="AF24" s="71">
        <v>94</v>
      </c>
      <c r="AG24" s="71"/>
      <c r="AH24" s="71"/>
      <c r="AI24" s="71"/>
      <c r="AJ24" s="71"/>
      <c r="AK24" s="71"/>
      <c r="AL24" s="71"/>
      <c r="AM24" s="71"/>
      <c r="AN24" s="71"/>
      <c r="AO24" s="96" t="str">
        <f>tbl_learners_info[[#This Row],[Last Name, First Name, Middle Initial ]]</f>
        <v>RADCLIFFE, DANIEL JACOB</v>
      </c>
      <c r="AP24" s="71">
        <v>80</v>
      </c>
      <c r="AQ24" s="71">
        <v>81</v>
      </c>
      <c r="AR24" s="71">
        <v>95</v>
      </c>
      <c r="AS24" s="71">
        <v>81</v>
      </c>
      <c r="AT24" s="71">
        <v>90</v>
      </c>
      <c r="AU24" s="71">
        <v>82</v>
      </c>
      <c r="AV24" s="71">
        <v>93</v>
      </c>
      <c r="AW24" s="71">
        <v>82</v>
      </c>
      <c r="AX24" s="71">
        <v>92</v>
      </c>
      <c r="AY24" s="71">
        <v>83</v>
      </c>
      <c r="AZ24" s="71">
        <v>92</v>
      </c>
      <c r="BA24" s="71">
        <v>83</v>
      </c>
      <c r="BB24" s="71">
        <v>90</v>
      </c>
      <c r="BC24" s="71">
        <v>82</v>
      </c>
      <c r="BD24" s="71"/>
      <c r="BE24" s="71"/>
      <c r="BF24" s="71"/>
      <c r="BG24" s="71"/>
      <c r="BH24" s="71"/>
      <c r="BI24" s="71"/>
      <c r="BJ24" s="96" t="str">
        <f>tbl_learners_info[[#This Row],[Last Name, First Name, Middle Initial ]]</f>
        <v>RADCLIFFE, DANIEL JACOB</v>
      </c>
      <c r="BK24" s="71">
        <v>0</v>
      </c>
      <c r="BL24" s="71">
        <v>0</v>
      </c>
      <c r="BM24" s="71">
        <v>0</v>
      </c>
      <c r="BN24" s="71">
        <v>0</v>
      </c>
      <c r="BO24" s="71">
        <v>0</v>
      </c>
      <c r="BP24" s="71">
        <v>0</v>
      </c>
      <c r="BQ24" s="71">
        <v>0</v>
      </c>
      <c r="BR24" s="71">
        <v>0</v>
      </c>
      <c r="BS24" s="71">
        <v>0</v>
      </c>
      <c r="BT24" s="71">
        <v>0</v>
      </c>
      <c r="BU24" s="71">
        <v>0</v>
      </c>
    </row>
    <row r="25" spans="3:73" ht="19.95" customHeight="1" x14ac:dyDescent="0.3">
      <c r="C25" s="4">
        <v>127455110013</v>
      </c>
      <c r="D25" s="7" t="s">
        <v>252</v>
      </c>
      <c r="E25" s="7" t="s">
        <v>228</v>
      </c>
      <c r="F25" s="5" t="s">
        <v>253</v>
      </c>
      <c r="G25" s="5"/>
      <c r="H25" s="5" t="s">
        <v>146</v>
      </c>
      <c r="I25" s="6">
        <v>37257</v>
      </c>
      <c r="J25" s="6">
        <v>45168</v>
      </c>
      <c r="K25" s="9" t="s">
        <v>8</v>
      </c>
      <c r="L25" s="64">
        <v>84</v>
      </c>
      <c r="M25" s="6">
        <v>44741</v>
      </c>
      <c r="N25" s="75" t="s">
        <v>143</v>
      </c>
      <c r="O25" s="74" t="s">
        <v>147</v>
      </c>
      <c r="P2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REYNOLDS, RYAN T.</v>
      </c>
      <c r="Q2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REYNOLDS, RYAN THOMAS</v>
      </c>
      <c r="R25" s="94">
        <f ca="1">IF(tbl_learners_info[[#This Row],[Date of Birth]]&lt;&gt;0,DATEDIF(tbl_learners_info[[#This Row],[Date of Birth]], TODAY(), "Y"),"")</f>
        <v>23</v>
      </c>
      <c r="S25" s="95" t="str">
        <f>IF(tbl_learners_info[[#This Row],[Name of Previous School]]&lt;&gt;"",IF(tbl_learners_info[[#This Row],[Name of Previous School]]="EAST GUSA NATIONAL HIGH SCHOOL","NO","YES"),"")</f>
        <v>NO</v>
      </c>
      <c r="T25" s="96" t="str">
        <f>tbl_learners_info[[#This Row],[Full Name (Spelled Out)]]</f>
        <v>REYNOLDS, RYAN THOMAS</v>
      </c>
      <c r="U25" s="71">
        <v>80</v>
      </c>
      <c r="V25" s="71">
        <v>94</v>
      </c>
      <c r="W25" s="71">
        <v>89</v>
      </c>
      <c r="X25" s="71">
        <v>91</v>
      </c>
      <c r="Y25" s="71">
        <v>89</v>
      </c>
      <c r="Z25" s="71">
        <v>88</v>
      </c>
      <c r="AA25" s="71">
        <v>88</v>
      </c>
      <c r="AB25" s="71">
        <v>88</v>
      </c>
      <c r="AC25" s="71">
        <v>75</v>
      </c>
      <c r="AD25" s="71">
        <v>86</v>
      </c>
      <c r="AE25" s="71">
        <v>90</v>
      </c>
      <c r="AF25" s="71">
        <v>94</v>
      </c>
      <c r="AG25" s="71"/>
      <c r="AH25" s="71"/>
      <c r="AI25" s="71"/>
      <c r="AJ25" s="71"/>
      <c r="AK25" s="71"/>
      <c r="AL25" s="71"/>
      <c r="AM25" s="71"/>
      <c r="AN25" s="71"/>
      <c r="AO25" s="96" t="str">
        <f>tbl_learners_info[[#This Row],[Last Name, First Name, Middle Initial ]]</f>
        <v>REYNOLDS, RYAN THOMAS</v>
      </c>
      <c r="AP25" s="71">
        <v>80</v>
      </c>
      <c r="AQ25" s="71">
        <v>81</v>
      </c>
      <c r="AR25" s="71">
        <v>92</v>
      </c>
      <c r="AS25" s="71">
        <v>82</v>
      </c>
      <c r="AT25" s="71">
        <v>89</v>
      </c>
      <c r="AU25" s="71">
        <v>82</v>
      </c>
      <c r="AV25" s="71">
        <v>93</v>
      </c>
      <c r="AW25" s="71">
        <v>81</v>
      </c>
      <c r="AX25" s="71">
        <v>91</v>
      </c>
      <c r="AY25" s="71">
        <v>82</v>
      </c>
      <c r="AZ25" s="71">
        <v>81</v>
      </c>
      <c r="BA25" s="71">
        <v>82</v>
      </c>
      <c r="BB25" s="71">
        <v>88</v>
      </c>
      <c r="BC25" s="71">
        <v>82</v>
      </c>
      <c r="BD25" s="71"/>
      <c r="BE25" s="71"/>
      <c r="BF25" s="71"/>
      <c r="BG25" s="71"/>
      <c r="BH25" s="71"/>
      <c r="BI25" s="71"/>
      <c r="BJ25" s="96" t="str">
        <f>tbl_learners_info[[#This Row],[Last Name, First Name, Middle Initial ]]</f>
        <v>REYNOLDS, RYAN THOMAS</v>
      </c>
      <c r="BK25" s="71">
        <v>0</v>
      </c>
      <c r="BL25" s="71">
        <v>0</v>
      </c>
      <c r="BM25" s="71">
        <v>0</v>
      </c>
      <c r="BN25" s="71">
        <v>0</v>
      </c>
      <c r="BO25" s="71">
        <v>0</v>
      </c>
      <c r="BP25" s="71">
        <v>0</v>
      </c>
      <c r="BQ25" s="71">
        <v>2</v>
      </c>
      <c r="BR25" s="71">
        <v>0</v>
      </c>
      <c r="BS25" s="71">
        <v>0</v>
      </c>
      <c r="BT25" s="71">
        <v>0</v>
      </c>
      <c r="BU25" s="71">
        <v>0</v>
      </c>
    </row>
    <row r="26" spans="3:73" ht="19.95" customHeight="1" x14ac:dyDescent="0.3">
      <c r="C26" s="4">
        <v>127944100162</v>
      </c>
      <c r="D26" s="7" t="s">
        <v>254</v>
      </c>
      <c r="E26" s="7" t="s">
        <v>255</v>
      </c>
      <c r="F26" s="5" t="s">
        <v>256</v>
      </c>
      <c r="G26" s="5"/>
      <c r="H26" s="5" t="s">
        <v>156</v>
      </c>
      <c r="I26" s="6">
        <v>38635</v>
      </c>
      <c r="J26" s="6">
        <v>45168</v>
      </c>
      <c r="K26" s="8" t="s">
        <v>8</v>
      </c>
      <c r="L26" s="64">
        <v>80</v>
      </c>
      <c r="M26" s="6">
        <v>44741</v>
      </c>
      <c r="N26" s="75" t="s">
        <v>143</v>
      </c>
      <c r="O26" s="74" t="s">
        <v>147</v>
      </c>
      <c r="P2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TATUM, CHANNING M.</v>
      </c>
      <c r="Q2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TATUM, CHANNING MATTHEW</v>
      </c>
      <c r="R26" s="94">
        <f ca="1">IF(tbl_learners_info[[#This Row],[Date of Birth]]&lt;&gt;0,DATEDIF(tbl_learners_info[[#This Row],[Date of Birth]], TODAY(), "Y"),"")</f>
        <v>20</v>
      </c>
      <c r="S26" s="95" t="str">
        <f>IF(tbl_learners_info[[#This Row],[Name of Previous School]]&lt;&gt;"",IF(tbl_learners_info[[#This Row],[Name of Previous School]]="EAST GUSA NATIONAL HIGH SCHOOL","NO","YES"),"")</f>
        <v>NO</v>
      </c>
      <c r="T26" s="96" t="str">
        <f>tbl_learners_info[[#This Row],[Full Name (Spelled Out)]]</f>
        <v>TATUM, CHANNING MATTHEW</v>
      </c>
      <c r="U26" s="71">
        <v>88</v>
      </c>
      <c r="V26" s="71">
        <v>87</v>
      </c>
      <c r="W26" s="71">
        <v>78</v>
      </c>
      <c r="X26" s="71">
        <v>77</v>
      </c>
      <c r="Y26" s="71">
        <v>91</v>
      </c>
      <c r="Z26" s="71">
        <v>87</v>
      </c>
      <c r="AA26" s="71">
        <v>83</v>
      </c>
      <c r="AB26" s="71">
        <v>81</v>
      </c>
      <c r="AC26" s="71">
        <v>90</v>
      </c>
      <c r="AD26" s="71">
        <v>90</v>
      </c>
      <c r="AE26" s="71">
        <v>89</v>
      </c>
      <c r="AF26" s="71">
        <v>92</v>
      </c>
      <c r="AG26" s="71"/>
      <c r="AH26" s="71"/>
      <c r="AI26" s="71"/>
      <c r="AJ26" s="71"/>
      <c r="AK26" s="71"/>
      <c r="AL26" s="71"/>
      <c r="AM26" s="71"/>
      <c r="AN26" s="71"/>
      <c r="AO26" s="96" t="str">
        <f>tbl_learners_info[[#This Row],[Last Name, First Name, Middle Initial ]]</f>
        <v>TATUM, CHANNING MATTHEW</v>
      </c>
      <c r="AP26" s="71">
        <v>80</v>
      </c>
      <c r="AQ26" s="71">
        <v>81</v>
      </c>
      <c r="AR26" s="71">
        <v>89</v>
      </c>
      <c r="AS26" s="71">
        <v>81</v>
      </c>
      <c r="AT26" s="71">
        <v>80</v>
      </c>
      <c r="AU26" s="71">
        <v>80</v>
      </c>
      <c r="AV26" s="71">
        <v>85</v>
      </c>
      <c r="AW26" s="71">
        <v>81</v>
      </c>
      <c r="AX26" s="71">
        <v>86</v>
      </c>
      <c r="AY26" s="71">
        <v>82</v>
      </c>
      <c r="AZ26" s="71">
        <v>88</v>
      </c>
      <c r="BA26" s="71">
        <v>81</v>
      </c>
      <c r="BB26" s="71">
        <v>85</v>
      </c>
      <c r="BC26" s="71">
        <v>81</v>
      </c>
      <c r="BD26" s="71"/>
      <c r="BE26" s="71"/>
      <c r="BF26" s="71"/>
      <c r="BG26" s="71"/>
      <c r="BH26" s="71"/>
      <c r="BI26" s="71"/>
      <c r="BJ26" s="96" t="str">
        <f>tbl_learners_info[[#This Row],[Last Name, First Name, Middle Initial ]]</f>
        <v>TATUM, CHANNING MATTHEW</v>
      </c>
      <c r="BK26" s="71">
        <v>0</v>
      </c>
      <c r="BL26" s="71">
        <v>0</v>
      </c>
      <c r="BM26" s="71">
        <v>0</v>
      </c>
      <c r="BN26" s="71">
        <v>0</v>
      </c>
      <c r="BO26" s="71">
        <v>0</v>
      </c>
      <c r="BP26" s="71">
        <v>0</v>
      </c>
      <c r="BQ26" s="71">
        <v>0</v>
      </c>
      <c r="BR26" s="71">
        <v>0</v>
      </c>
      <c r="BS26" s="71">
        <v>0</v>
      </c>
      <c r="BT26" s="71">
        <v>0</v>
      </c>
      <c r="BU26" s="71">
        <v>0</v>
      </c>
    </row>
    <row r="27" spans="3:73" ht="19.95" customHeight="1" x14ac:dyDescent="0.3">
      <c r="C27" s="4">
        <v>127944121286</v>
      </c>
      <c r="D27" s="7" t="s">
        <v>257</v>
      </c>
      <c r="E27" s="7" t="s">
        <v>258</v>
      </c>
      <c r="F27" s="5" t="s">
        <v>259</v>
      </c>
      <c r="G27" s="5"/>
      <c r="H27" s="5" t="s">
        <v>156</v>
      </c>
      <c r="I27" s="6">
        <v>38167</v>
      </c>
      <c r="J27" s="6">
        <v>45168</v>
      </c>
      <c r="K27" s="9" t="s">
        <v>8</v>
      </c>
      <c r="L27" s="64">
        <v>81</v>
      </c>
      <c r="M27" s="6">
        <v>44741</v>
      </c>
      <c r="N27" s="75" t="s">
        <v>143</v>
      </c>
      <c r="O27" s="74" t="s">
        <v>147</v>
      </c>
      <c r="P2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BLAKE, ANNE M.</v>
      </c>
      <c r="Q2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BLAKE, ANNE MICHELLE</v>
      </c>
      <c r="R27" s="94">
        <f ca="1">IF(tbl_learners_info[[#This Row],[Date of Birth]]&lt;&gt;0,DATEDIF(tbl_learners_info[[#This Row],[Date of Birth]], TODAY(), "Y"),"")</f>
        <v>21</v>
      </c>
      <c r="S27" s="95" t="str">
        <f>IF(tbl_learners_info[[#This Row],[Name of Previous School]]&lt;&gt;"",IF(tbl_learners_info[[#This Row],[Name of Previous School]]="EAST GUSA NATIONAL HIGH SCHOOL","NO","YES"),"")</f>
        <v>NO</v>
      </c>
      <c r="T27" s="96" t="str">
        <f>tbl_learners_info[[#This Row],[Full Name (Spelled Out)]]</f>
        <v>BLAKE, ANNE MICHELLE</v>
      </c>
      <c r="U27" s="71">
        <v>75</v>
      </c>
      <c r="V27" s="71">
        <v>75</v>
      </c>
      <c r="W27" s="71">
        <v>82</v>
      </c>
      <c r="X27" s="71">
        <v>82</v>
      </c>
      <c r="Y27" s="71">
        <v>89</v>
      </c>
      <c r="Z27" s="71">
        <v>81</v>
      </c>
      <c r="AA27" s="71">
        <v>75</v>
      </c>
      <c r="AB27" s="71">
        <v>80</v>
      </c>
      <c r="AC27" s="71">
        <v>70</v>
      </c>
      <c r="AD27" s="71">
        <v>82</v>
      </c>
      <c r="AE27" s="71">
        <v>83</v>
      </c>
      <c r="AF27" s="71">
        <v>82</v>
      </c>
      <c r="AG27" s="71"/>
      <c r="AH27" s="71"/>
      <c r="AI27" s="71"/>
      <c r="AJ27" s="71"/>
      <c r="AK27" s="71"/>
      <c r="AL27" s="71"/>
      <c r="AM27" s="71"/>
      <c r="AN27" s="71"/>
      <c r="AO27" s="96" t="str">
        <f>tbl_learners_info[[#This Row],[Last Name, First Name, Middle Initial ]]</f>
        <v>BLAKE, ANNE MICHELLE</v>
      </c>
      <c r="AP27" s="71">
        <v>80</v>
      </c>
      <c r="AQ27" s="71">
        <v>80</v>
      </c>
      <c r="AR27" s="71">
        <v>90</v>
      </c>
      <c r="AS27" s="71">
        <v>83</v>
      </c>
      <c r="AT27" s="71">
        <v>81</v>
      </c>
      <c r="AU27" s="71">
        <v>80</v>
      </c>
      <c r="AV27" s="71">
        <v>78</v>
      </c>
      <c r="AW27" s="71">
        <v>82</v>
      </c>
      <c r="AX27" s="71">
        <v>75</v>
      </c>
      <c r="AY27" s="71">
        <v>80</v>
      </c>
      <c r="AZ27" s="71">
        <v>81</v>
      </c>
      <c r="BA27" s="71">
        <v>82</v>
      </c>
      <c r="BB27" s="71">
        <v>81</v>
      </c>
      <c r="BC27" s="71">
        <v>81</v>
      </c>
      <c r="BD27" s="71"/>
      <c r="BE27" s="71"/>
      <c r="BF27" s="71"/>
      <c r="BG27" s="71"/>
      <c r="BH27" s="71"/>
      <c r="BI27" s="71"/>
      <c r="BJ27" s="96" t="str">
        <f>tbl_learners_info[[#This Row],[Last Name, First Name, Middle Initial ]]</f>
        <v>BLAKE, ANNE MICHELLE</v>
      </c>
      <c r="BK27" s="71">
        <v>0</v>
      </c>
      <c r="BL27" s="71">
        <v>0</v>
      </c>
      <c r="BM27" s="71">
        <v>0</v>
      </c>
      <c r="BN27" s="71">
        <v>0</v>
      </c>
      <c r="BO27" s="71">
        <v>0</v>
      </c>
      <c r="BP27" s="71">
        <v>10</v>
      </c>
      <c r="BQ27" s="71">
        <v>0</v>
      </c>
      <c r="BR27" s="71">
        <v>0</v>
      </c>
      <c r="BS27" s="71">
        <v>0</v>
      </c>
      <c r="BT27" s="71">
        <v>0</v>
      </c>
      <c r="BU27" s="71">
        <v>0</v>
      </c>
    </row>
    <row r="28" spans="3:73" ht="19.95" customHeight="1" x14ac:dyDescent="0.3">
      <c r="C28" s="4">
        <v>127944110187</v>
      </c>
      <c r="D28" s="3" t="s">
        <v>260</v>
      </c>
      <c r="E28" s="3" t="s">
        <v>261</v>
      </c>
      <c r="F28" s="5" t="s">
        <v>262</v>
      </c>
      <c r="G28" s="5"/>
      <c r="H28" s="5" t="s">
        <v>156</v>
      </c>
      <c r="I28" s="6">
        <v>38552</v>
      </c>
      <c r="J28" s="6">
        <v>45168</v>
      </c>
      <c r="K28" s="8" t="s">
        <v>8</v>
      </c>
      <c r="L28" s="64">
        <v>83</v>
      </c>
      <c r="M28" s="6">
        <v>44741</v>
      </c>
      <c r="N28" s="75" t="s">
        <v>143</v>
      </c>
      <c r="O28" s="74" t="s">
        <v>147</v>
      </c>
      <c r="P2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GADOT, GAL R.</v>
      </c>
      <c r="Q2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GADOT, GAL REBECCA</v>
      </c>
      <c r="R28" s="94">
        <f ca="1">IF(tbl_learners_info[[#This Row],[Date of Birth]]&lt;&gt;0,DATEDIF(tbl_learners_info[[#This Row],[Date of Birth]], TODAY(), "Y"),"")</f>
        <v>20</v>
      </c>
      <c r="S28" s="95" t="str">
        <f>IF(tbl_learners_info[[#This Row],[Name of Previous School]]&lt;&gt;"",IF(tbl_learners_info[[#This Row],[Name of Previous School]]="EAST GUSA NATIONAL HIGH SCHOOL","NO","YES"),"")</f>
        <v>NO</v>
      </c>
      <c r="T28" s="96" t="str">
        <f>tbl_learners_info[[#This Row],[Full Name (Spelled Out)]]</f>
        <v>GADOT, GAL REBECCA</v>
      </c>
      <c r="U28" s="71">
        <v>85</v>
      </c>
      <c r="V28" s="71">
        <v>78</v>
      </c>
      <c r="W28" s="71">
        <v>77</v>
      </c>
      <c r="X28" s="71">
        <v>76</v>
      </c>
      <c r="Y28" s="71">
        <v>92</v>
      </c>
      <c r="Z28" s="71">
        <v>85</v>
      </c>
      <c r="AA28" s="71">
        <v>80</v>
      </c>
      <c r="AB28" s="71">
        <v>81</v>
      </c>
      <c r="AC28" s="71">
        <v>75</v>
      </c>
      <c r="AD28" s="71">
        <v>95</v>
      </c>
      <c r="AE28" s="71">
        <v>88</v>
      </c>
      <c r="AF28" s="71">
        <v>91</v>
      </c>
      <c r="AG28" s="71"/>
      <c r="AH28" s="71"/>
      <c r="AI28" s="71"/>
      <c r="AJ28" s="71"/>
      <c r="AK28" s="71"/>
      <c r="AL28" s="71"/>
      <c r="AM28" s="71"/>
      <c r="AN28" s="71"/>
      <c r="AO28" s="96" t="str">
        <f>tbl_learners_info[[#This Row],[Last Name, First Name, Middle Initial ]]</f>
        <v>GADOT, GAL REBECCA</v>
      </c>
      <c r="AP28" s="71">
        <v>80</v>
      </c>
      <c r="AQ28" s="71">
        <v>83</v>
      </c>
      <c r="AR28" s="71">
        <v>91</v>
      </c>
      <c r="AS28" s="71">
        <v>83</v>
      </c>
      <c r="AT28" s="71">
        <v>79</v>
      </c>
      <c r="AU28" s="71">
        <v>82</v>
      </c>
      <c r="AV28" s="71">
        <v>86</v>
      </c>
      <c r="AW28" s="71">
        <v>81</v>
      </c>
      <c r="AX28" s="71">
        <v>88</v>
      </c>
      <c r="AY28" s="71">
        <v>81</v>
      </c>
      <c r="AZ28" s="71">
        <v>81</v>
      </c>
      <c r="BA28" s="71">
        <v>81</v>
      </c>
      <c r="BB28" s="71">
        <v>84</v>
      </c>
      <c r="BC28" s="71">
        <v>82</v>
      </c>
      <c r="BD28" s="71"/>
      <c r="BE28" s="71"/>
      <c r="BF28" s="71"/>
      <c r="BG28" s="71"/>
      <c r="BH28" s="71"/>
      <c r="BI28" s="71"/>
      <c r="BJ28" s="96" t="str">
        <f>tbl_learners_info[[#This Row],[Last Name, First Name, Middle Initial ]]</f>
        <v>GADOT, GAL REBECCA</v>
      </c>
      <c r="BK28" s="71">
        <v>0</v>
      </c>
      <c r="BL28" s="71">
        <v>0</v>
      </c>
      <c r="BM28" s="71">
        <v>0</v>
      </c>
      <c r="BN28" s="71">
        <v>0</v>
      </c>
      <c r="BO28" s="71">
        <v>0</v>
      </c>
      <c r="BP28" s="71">
        <v>0</v>
      </c>
      <c r="BQ28" s="71">
        <v>0</v>
      </c>
      <c r="BR28" s="71">
        <v>0</v>
      </c>
      <c r="BS28" s="71">
        <v>0</v>
      </c>
      <c r="BT28" s="71">
        <v>0</v>
      </c>
      <c r="BU28" s="71">
        <v>0</v>
      </c>
    </row>
    <row r="29" spans="3:73" ht="19.95" customHeight="1" x14ac:dyDescent="0.3">
      <c r="C29" s="4">
        <v>127944130550</v>
      </c>
      <c r="D29" s="7" t="s">
        <v>263</v>
      </c>
      <c r="E29" s="7" t="s">
        <v>264</v>
      </c>
      <c r="F29" s="5" t="s">
        <v>265</v>
      </c>
      <c r="G29" s="5"/>
      <c r="H29" s="5" t="s">
        <v>156</v>
      </c>
      <c r="I29" s="6">
        <v>37935</v>
      </c>
      <c r="J29" s="6">
        <v>45168</v>
      </c>
      <c r="K29" s="9" t="s">
        <v>8</v>
      </c>
      <c r="L29" s="64">
        <v>81</v>
      </c>
      <c r="M29" s="6">
        <v>44741</v>
      </c>
      <c r="N29" s="75" t="s">
        <v>143</v>
      </c>
      <c r="O29" s="74" t="s">
        <v>147</v>
      </c>
      <c r="P2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JOHANSSON, SCARLETT M.</v>
      </c>
      <c r="Q2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JOHANSSON, SCARLETT MARIE</v>
      </c>
      <c r="R29" s="94">
        <f ca="1">IF(tbl_learners_info[[#This Row],[Date of Birth]]&lt;&gt;0,DATEDIF(tbl_learners_info[[#This Row],[Date of Birth]], TODAY(), "Y"),"")</f>
        <v>21</v>
      </c>
      <c r="S29" s="95" t="str">
        <f>IF(tbl_learners_info[[#This Row],[Name of Previous School]]&lt;&gt;"",IF(tbl_learners_info[[#This Row],[Name of Previous School]]="EAST GUSA NATIONAL HIGH SCHOOL","NO","YES"),"")</f>
        <v>NO</v>
      </c>
      <c r="T29" s="96" t="str">
        <f>tbl_learners_info[[#This Row],[Full Name (Spelled Out)]]</f>
        <v>JOHANSSON, SCARLETT MARIE</v>
      </c>
      <c r="U29" s="71">
        <v>85</v>
      </c>
      <c r="V29" s="71">
        <v>85</v>
      </c>
      <c r="W29" s="71">
        <v>79</v>
      </c>
      <c r="X29" s="71">
        <v>75</v>
      </c>
      <c r="Y29" s="71">
        <v>92</v>
      </c>
      <c r="Z29" s="71">
        <v>86</v>
      </c>
      <c r="AA29" s="71">
        <v>83</v>
      </c>
      <c r="AB29" s="71">
        <v>81</v>
      </c>
      <c r="AC29" s="71">
        <v>84</v>
      </c>
      <c r="AD29" s="71">
        <v>93</v>
      </c>
      <c r="AE29" s="71">
        <v>88</v>
      </c>
      <c r="AF29" s="71">
        <v>91</v>
      </c>
      <c r="AG29" s="71"/>
      <c r="AH29" s="71"/>
      <c r="AI29" s="71"/>
      <c r="AJ29" s="71"/>
      <c r="AK29" s="71"/>
      <c r="AL29" s="71"/>
      <c r="AM29" s="71"/>
      <c r="AN29" s="71"/>
      <c r="AO29" s="96" t="str">
        <f>tbl_learners_info[[#This Row],[Last Name, First Name, Middle Initial ]]</f>
        <v>JOHANSSON, SCARLETT MARIE</v>
      </c>
      <c r="AP29" s="71">
        <v>91</v>
      </c>
      <c r="AQ29" s="71">
        <v>92</v>
      </c>
      <c r="AR29" s="71">
        <v>91</v>
      </c>
      <c r="AS29" s="71">
        <v>93</v>
      </c>
      <c r="AT29" s="71">
        <v>82</v>
      </c>
      <c r="AU29" s="71">
        <v>93</v>
      </c>
      <c r="AV29" s="71">
        <v>88</v>
      </c>
      <c r="AW29" s="71">
        <v>92</v>
      </c>
      <c r="AX29" s="71">
        <v>90</v>
      </c>
      <c r="AY29" s="71">
        <v>93</v>
      </c>
      <c r="AZ29" s="71">
        <v>87</v>
      </c>
      <c r="BA29" s="71">
        <v>93</v>
      </c>
      <c r="BB29" s="71">
        <v>88</v>
      </c>
      <c r="BC29" s="71">
        <v>93</v>
      </c>
      <c r="BD29" s="71"/>
      <c r="BE29" s="71"/>
      <c r="BF29" s="71"/>
      <c r="BG29" s="71"/>
      <c r="BH29" s="71"/>
      <c r="BI29" s="71"/>
      <c r="BJ29" s="96" t="str">
        <f>tbl_learners_info[[#This Row],[Last Name, First Name, Middle Initial ]]</f>
        <v>JOHANSSON, SCARLETT MARIE</v>
      </c>
      <c r="BK29" s="71">
        <v>0</v>
      </c>
      <c r="BL29" s="71">
        <v>0</v>
      </c>
      <c r="BM29" s="71">
        <v>0</v>
      </c>
      <c r="BN29" s="71">
        <v>0</v>
      </c>
      <c r="BO29" s="71">
        <v>0</v>
      </c>
      <c r="BP29" s="71">
        <v>0</v>
      </c>
      <c r="BQ29" s="71">
        <v>0</v>
      </c>
      <c r="BR29" s="71">
        <v>0</v>
      </c>
      <c r="BS29" s="71">
        <v>0</v>
      </c>
      <c r="BT29" s="71">
        <v>0</v>
      </c>
      <c r="BU29" s="71">
        <v>0</v>
      </c>
    </row>
    <row r="30" spans="3:73" ht="19.95" customHeight="1" x14ac:dyDescent="0.3">
      <c r="C30" s="4">
        <v>127944121256</v>
      </c>
      <c r="D30" s="7" t="s">
        <v>266</v>
      </c>
      <c r="E30" s="7" t="s">
        <v>267</v>
      </c>
      <c r="F30" s="5" t="s">
        <v>268</v>
      </c>
      <c r="G30" s="5"/>
      <c r="H30" s="5" t="s">
        <v>156</v>
      </c>
      <c r="I30" s="6">
        <v>38173</v>
      </c>
      <c r="J30" s="6">
        <v>45168</v>
      </c>
      <c r="K30" s="8" t="s">
        <v>8</v>
      </c>
      <c r="L30" s="64">
        <v>86</v>
      </c>
      <c r="M30" s="6">
        <v>44741</v>
      </c>
      <c r="N30" s="75" t="s">
        <v>143</v>
      </c>
      <c r="O30" s="74" t="s">
        <v>147</v>
      </c>
      <c r="P3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LARSON, BRIE A.</v>
      </c>
      <c r="Q3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LARSON, BRIE ALEXANDRA</v>
      </c>
      <c r="R30" s="94">
        <f ca="1">IF(tbl_learners_info[[#This Row],[Date of Birth]]&lt;&gt;0,DATEDIF(tbl_learners_info[[#This Row],[Date of Birth]], TODAY(), "Y"),"")</f>
        <v>21</v>
      </c>
      <c r="S30" s="95" t="str">
        <f>IF(tbl_learners_info[[#This Row],[Name of Previous School]]&lt;&gt;"",IF(tbl_learners_info[[#This Row],[Name of Previous School]]="EAST GUSA NATIONAL HIGH SCHOOL","NO","YES"),"")</f>
        <v>NO</v>
      </c>
      <c r="T30" s="96" t="str">
        <f>tbl_learners_info[[#This Row],[Full Name (Spelled Out)]]</f>
        <v>LARSON, BRIE ALEXANDRA</v>
      </c>
      <c r="U30" s="71">
        <v>82</v>
      </c>
      <c r="V30" s="71">
        <v>82</v>
      </c>
      <c r="W30" s="71">
        <v>80</v>
      </c>
      <c r="X30" s="71">
        <v>82</v>
      </c>
      <c r="Y30" s="71">
        <v>91</v>
      </c>
      <c r="Z30" s="71">
        <v>87</v>
      </c>
      <c r="AA30" s="71">
        <v>88</v>
      </c>
      <c r="AB30" s="71">
        <v>88</v>
      </c>
      <c r="AC30" s="71">
        <v>84</v>
      </c>
      <c r="AD30" s="71">
        <v>90</v>
      </c>
      <c r="AE30" s="71">
        <v>85</v>
      </c>
      <c r="AF30" s="71">
        <v>93</v>
      </c>
      <c r="AG30" s="71"/>
      <c r="AH30" s="71"/>
      <c r="AI30" s="71"/>
      <c r="AJ30" s="71"/>
      <c r="AK30" s="71"/>
      <c r="AL30" s="71"/>
      <c r="AM30" s="71"/>
      <c r="AN30" s="71"/>
      <c r="AO30" s="96" t="str">
        <f>tbl_learners_info[[#This Row],[Last Name, First Name, Middle Initial ]]</f>
        <v>LARSON, BRIE ALEXANDRA</v>
      </c>
      <c r="AP30" s="71">
        <v>80</v>
      </c>
      <c r="AQ30" s="71">
        <v>81</v>
      </c>
      <c r="AR30" s="71">
        <v>91</v>
      </c>
      <c r="AS30" s="71">
        <v>81</v>
      </c>
      <c r="AT30" s="71">
        <v>81</v>
      </c>
      <c r="AU30" s="71">
        <v>83</v>
      </c>
      <c r="AV30" s="71">
        <v>88</v>
      </c>
      <c r="AW30" s="71">
        <v>83</v>
      </c>
      <c r="AX30" s="71">
        <v>88</v>
      </c>
      <c r="AY30" s="71">
        <v>82</v>
      </c>
      <c r="AZ30" s="71">
        <v>92</v>
      </c>
      <c r="BA30" s="71">
        <v>83</v>
      </c>
      <c r="BB30" s="71">
        <v>87</v>
      </c>
      <c r="BC30" s="71">
        <v>82</v>
      </c>
      <c r="BD30" s="71"/>
      <c r="BE30" s="71"/>
      <c r="BF30" s="71"/>
      <c r="BG30" s="71"/>
      <c r="BH30" s="71"/>
      <c r="BI30" s="71"/>
      <c r="BJ30" s="96" t="str">
        <f>tbl_learners_info[[#This Row],[Last Name, First Name, Middle Initial ]]</f>
        <v>LARSON, BRIE ALEXANDRA</v>
      </c>
      <c r="BK30" s="71">
        <v>0</v>
      </c>
      <c r="BL30" s="71">
        <v>0</v>
      </c>
      <c r="BM30" s="71">
        <v>0</v>
      </c>
      <c r="BN30" s="71">
        <v>0</v>
      </c>
      <c r="BO30" s="71">
        <v>0</v>
      </c>
      <c r="BP30" s="71">
        <v>0</v>
      </c>
      <c r="BQ30" s="71">
        <v>0</v>
      </c>
      <c r="BR30" s="71">
        <v>0</v>
      </c>
      <c r="BS30" s="71">
        <v>0</v>
      </c>
      <c r="BT30" s="71">
        <v>0</v>
      </c>
      <c r="BU30" s="71">
        <v>0</v>
      </c>
    </row>
    <row r="31" spans="3:73" ht="19.95" customHeight="1" x14ac:dyDescent="0.3">
      <c r="C31" s="4">
        <v>127944130668</v>
      </c>
      <c r="D31" s="7" t="s">
        <v>269</v>
      </c>
      <c r="E31" s="7" t="s">
        <v>270</v>
      </c>
      <c r="F31" s="5" t="s">
        <v>271</v>
      </c>
      <c r="G31" s="5"/>
      <c r="H31" s="5" t="s">
        <v>156</v>
      </c>
      <c r="I31" s="6">
        <v>38555</v>
      </c>
      <c r="J31" s="6">
        <v>45168</v>
      </c>
      <c r="K31" s="9" t="s">
        <v>8</v>
      </c>
      <c r="L31" s="64">
        <v>85</v>
      </c>
      <c r="M31" s="6">
        <v>44741</v>
      </c>
      <c r="N31" s="75" t="s">
        <v>143</v>
      </c>
      <c r="O31" s="74" t="s">
        <v>147</v>
      </c>
      <c r="P3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LAWRENCE, JENNIFER K.</v>
      </c>
      <c r="Q3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LAWRENCE, JENNIFER KATE</v>
      </c>
      <c r="R31" s="94">
        <f ca="1">IF(tbl_learners_info[[#This Row],[Date of Birth]]&lt;&gt;0,DATEDIF(tbl_learners_info[[#This Row],[Date of Birth]], TODAY(), "Y"),"")</f>
        <v>20</v>
      </c>
      <c r="S31" s="95" t="str">
        <f>IF(tbl_learners_info[[#This Row],[Name of Previous School]]&lt;&gt;"",IF(tbl_learners_info[[#This Row],[Name of Previous School]]="EAST GUSA NATIONAL HIGH SCHOOL","NO","YES"),"")</f>
        <v>NO</v>
      </c>
      <c r="T31" s="96" t="str">
        <f>tbl_learners_info[[#This Row],[Full Name (Spelled Out)]]</f>
        <v>LAWRENCE, JENNIFER KATE</v>
      </c>
      <c r="U31" s="71">
        <v>81</v>
      </c>
      <c r="V31" s="71">
        <v>75</v>
      </c>
      <c r="W31" s="71">
        <v>77</v>
      </c>
      <c r="X31" s="71">
        <v>75</v>
      </c>
      <c r="Y31" s="71">
        <v>92</v>
      </c>
      <c r="Z31" s="71">
        <v>86</v>
      </c>
      <c r="AA31" s="71">
        <v>86</v>
      </c>
      <c r="AB31" s="71">
        <v>83</v>
      </c>
      <c r="AC31" s="71">
        <v>75</v>
      </c>
      <c r="AD31" s="71">
        <v>90</v>
      </c>
      <c r="AE31" s="71">
        <v>88</v>
      </c>
      <c r="AF31" s="71">
        <v>89</v>
      </c>
      <c r="AG31" s="71"/>
      <c r="AH31" s="71"/>
      <c r="AI31" s="71"/>
      <c r="AJ31" s="71"/>
      <c r="AK31" s="71"/>
      <c r="AL31" s="71"/>
      <c r="AM31" s="71"/>
      <c r="AN31" s="71"/>
      <c r="AO31" s="96" t="str">
        <f>tbl_learners_info[[#This Row],[Last Name, First Name, Middle Initial ]]</f>
        <v>LAWRENCE, JENNIFER KATE</v>
      </c>
      <c r="AP31" s="71">
        <v>80</v>
      </c>
      <c r="AQ31" s="71">
        <v>83</v>
      </c>
      <c r="AR31" s="71">
        <v>89</v>
      </c>
      <c r="AS31" s="71">
        <v>81</v>
      </c>
      <c r="AT31" s="71">
        <v>79</v>
      </c>
      <c r="AU31" s="71">
        <v>80</v>
      </c>
      <c r="AV31" s="71">
        <v>85</v>
      </c>
      <c r="AW31" s="71">
        <v>83</v>
      </c>
      <c r="AX31" s="71">
        <v>88</v>
      </c>
      <c r="AY31" s="71">
        <v>82</v>
      </c>
      <c r="AZ31" s="71">
        <v>85</v>
      </c>
      <c r="BA31" s="71">
        <v>80</v>
      </c>
      <c r="BB31" s="71">
        <v>84</v>
      </c>
      <c r="BC31" s="71">
        <v>82</v>
      </c>
      <c r="BD31" s="71"/>
      <c r="BE31" s="71"/>
      <c r="BF31" s="71"/>
      <c r="BG31" s="71"/>
      <c r="BH31" s="71"/>
      <c r="BI31" s="71"/>
      <c r="BJ31" s="96" t="str">
        <f>tbl_learners_info[[#This Row],[Last Name, First Name, Middle Initial ]]</f>
        <v>LAWRENCE, JENNIFER KATE</v>
      </c>
      <c r="BK31" s="71">
        <v>0</v>
      </c>
      <c r="BL31" s="71">
        <v>0</v>
      </c>
      <c r="BM31" s="71">
        <v>0</v>
      </c>
      <c r="BN31" s="71">
        <v>0</v>
      </c>
      <c r="BO31" s="71">
        <v>0</v>
      </c>
      <c r="BP31" s="71">
        <v>8</v>
      </c>
      <c r="BQ31" s="71">
        <v>5</v>
      </c>
      <c r="BR31" s="71">
        <v>0</v>
      </c>
      <c r="BS31" s="71">
        <v>0</v>
      </c>
      <c r="BT31" s="71">
        <v>0</v>
      </c>
      <c r="BU31" s="71">
        <v>0</v>
      </c>
    </row>
    <row r="32" spans="3:73" ht="19.95" customHeight="1" x14ac:dyDescent="0.3">
      <c r="C32" s="4">
        <v>127944090258</v>
      </c>
      <c r="D32" s="7" t="s">
        <v>272</v>
      </c>
      <c r="E32" s="7" t="s">
        <v>273</v>
      </c>
      <c r="F32" s="5" t="s">
        <v>274</v>
      </c>
      <c r="G32" s="5"/>
      <c r="H32" s="5" t="s">
        <v>156</v>
      </c>
      <c r="I32" s="6">
        <v>36585</v>
      </c>
      <c r="J32" s="6">
        <v>45168</v>
      </c>
      <c r="K32" s="9" t="s">
        <v>8</v>
      </c>
      <c r="L32" s="64">
        <v>80</v>
      </c>
      <c r="M32" s="6">
        <v>44741</v>
      </c>
      <c r="N32" s="75" t="s">
        <v>196</v>
      </c>
      <c r="O32" s="74" t="s">
        <v>197</v>
      </c>
      <c r="P3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ROBBIE, MARGOT E.</v>
      </c>
      <c r="Q3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ROBBIE, MARGOT ELIZABETH</v>
      </c>
      <c r="R32" s="94">
        <f ca="1">IF(tbl_learners_info[[#This Row],[Date of Birth]]&lt;&gt;0,DATEDIF(tbl_learners_info[[#This Row],[Date of Birth]], TODAY(), "Y"),"")</f>
        <v>25</v>
      </c>
      <c r="S32" s="95" t="str">
        <f>IF(tbl_learners_info[[#This Row],[Name of Previous School]]&lt;&gt;"",IF(tbl_learners_info[[#This Row],[Name of Previous School]]="EAST GUSA NATIONAL HIGH SCHOOL","NO","YES"),"")</f>
        <v>YES</v>
      </c>
      <c r="T32" s="96" t="str">
        <f>tbl_learners_info[[#This Row],[Full Name (Spelled Out)]]</f>
        <v>ROBBIE, MARGOT ELIZABETH</v>
      </c>
      <c r="U32" s="71">
        <v>82</v>
      </c>
      <c r="V32" s="71">
        <v>75</v>
      </c>
      <c r="W32" s="71">
        <v>78</v>
      </c>
      <c r="X32" s="71">
        <v>78</v>
      </c>
      <c r="Y32" s="71">
        <v>89</v>
      </c>
      <c r="Z32" s="71">
        <v>87</v>
      </c>
      <c r="AA32" s="71">
        <v>75</v>
      </c>
      <c r="AB32" s="71">
        <v>77</v>
      </c>
      <c r="AC32" s="71">
        <v>84</v>
      </c>
      <c r="AD32" s="71">
        <v>90</v>
      </c>
      <c r="AE32" s="71">
        <v>82</v>
      </c>
      <c r="AF32" s="71">
        <v>87</v>
      </c>
      <c r="AG32" s="71"/>
      <c r="AH32" s="71"/>
      <c r="AI32" s="71"/>
      <c r="AJ32" s="71"/>
      <c r="AK32" s="71"/>
      <c r="AL32" s="71"/>
      <c r="AM32" s="71"/>
      <c r="AN32" s="71"/>
      <c r="AO32" s="96" t="str">
        <f>tbl_learners_info[[#This Row],[Last Name, First Name, Middle Initial ]]</f>
        <v>ROBBIE, MARGOT ELIZABETH</v>
      </c>
      <c r="AP32" s="71">
        <v>82</v>
      </c>
      <c r="AQ32" s="71">
        <v>82</v>
      </c>
      <c r="AR32" s="71">
        <v>91</v>
      </c>
      <c r="AS32" s="71">
        <v>82</v>
      </c>
      <c r="AT32" s="71">
        <v>82</v>
      </c>
      <c r="AU32" s="71">
        <v>84</v>
      </c>
      <c r="AV32" s="71">
        <v>86</v>
      </c>
      <c r="AW32" s="71">
        <v>82</v>
      </c>
      <c r="AX32" s="71">
        <v>75</v>
      </c>
      <c r="AY32" s="71">
        <v>84</v>
      </c>
      <c r="AZ32" s="71">
        <v>86</v>
      </c>
      <c r="BA32" s="71">
        <v>84</v>
      </c>
      <c r="BB32" s="71">
        <v>84</v>
      </c>
      <c r="BC32" s="71">
        <v>83</v>
      </c>
      <c r="BD32" s="71"/>
      <c r="BE32" s="71"/>
      <c r="BF32" s="71"/>
      <c r="BG32" s="71"/>
      <c r="BH32" s="71"/>
      <c r="BI32" s="71"/>
      <c r="BJ32" s="96" t="str">
        <f>tbl_learners_info[[#This Row],[Last Name, First Name, Middle Initial ]]</f>
        <v>ROBBIE, MARGOT ELIZABETH</v>
      </c>
      <c r="BK32" s="71">
        <v>0</v>
      </c>
      <c r="BL32" s="71">
        <v>0</v>
      </c>
      <c r="BM32" s="71">
        <v>0</v>
      </c>
      <c r="BN32" s="71">
        <v>0</v>
      </c>
      <c r="BO32" s="71">
        <v>0</v>
      </c>
      <c r="BP32" s="71">
        <v>6</v>
      </c>
      <c r="BQ32" s="71">
        <v>6</v>
      </c>
      <c r="BR32" s="71">
        <v>4</v>
      </c>
      <c r="BS32" s="71">
        <v>0</v>
      </c>
      <c r="BT32" s="71">
        <v>0</v>
      </c>
      <c r="BU32" s="71">
        <v>0</v>
      </c>
    </row>
    <row r="33" spans="3:73" ht="19.95" customHeight="1" x14ac:dyDescent="0.3">
      <c r="C33" s="4">
        <v>127943120020</v>
      </c>
      <c r="D33" s="7" t="s">
        <v>275</v>
      </c>
      <c r="E33" s="7" t="s">
        <v>276</v>
      </c>
      <c r="F33" s="5" t="s">
        <v>277</v>
      </c>
      <c r="G33" s="5"/>
      <c r="H33" s="5" t="s">
        <v>156</v>
      </c>
      <c r="I33" s="6">
        <v>38638</v>
      </c>
      <c r="J33" s="6">
        <v>45168</v>
      </c>
      <c r="K33" s="8" t="s">
        <v>8</v>
      </c>
      <c r="L33" s="64">
        <v>88</v>
      </c>
      <c r="M33" s="6">
        <v>44741</v>
      </c>
      <c r="N33" s="75" t="s">
        <v>143</v>
      </c>
      <c r="O33" s="74" t="s">
        <v>147</v>
      </c>
      <c r="P3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STONE, EMMA L.</v>
      </c>
      <c r="Q3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STONE, EMMA LOUISE</v>
      </c>
      <c r="R33" s="94">
        <f ca="1">IF(tbl_learners_info[[#This Row],[Date of Birth]]&lt;&gt;0,DATEDIF(tbl_learners_info[[#This Row],[Date of Birth]], TODAY(), "Y"),"")</f>
        <v>20</v>
      </c>
      <c r="S33" s="95" t="str">
        <f>IF(tbl_learners_info[[#This Row],[Name of Previous School]]&lt;&gt;"",IF(tbl_learners_info[[#This Row],[Name of Previous School]]="EAST GUSA NATIONAL HIGH SCHOOL","NO","YES"),"")</f>
        <v>NO</v>
      </c>
      <c r="T33" s="96" t="str">
        <f>tbl_learners_info[[#This Row],[Full Name (Spelled Out)]]</f>
        <v>STONE, EMMA LOUISE</v>
      </c>
      <c r="U33" s="71">
        <v>90</v>
      </c>
      <c r="V33" s="71">
        <v>89</v>
      </c>
      <c r="W33" s="71">
        <v>91</v>
      </c>
      <c r="X33" s="71">
        <v>92</v>
      </c>
      <c r="Y33" s="71">
        <v>89</v>
      </c>
      <c r="Z33" s="71">
        <v>87</v>
      </c>
      <c r="AA33" s="71">
        <v>95</v>
      </c>
      <c r="AB33" s="71">
        <v>95</v>
      </c>
      <c r="AC33" s="71">
        <v>93</v>
      </c>
      <c r="AD33" s="71">
        <v>99</v>
      </c>
      <c r="AE33" s="71">
        <v>95</v>
      </c>
      <c r="AF33" s="71">
        <v>97</v>
      </c>
      <c r="AG33" s="71"/>
      <c r="AH33" s="71"/>
      <c r="AI33" s="71"/>
      <c r="AJ33" s="71"/>
      <c r="AK33" s="71"/>
      <c r="AL33" s="71"/>
      <c r="AM33" s="71"/>
      <c r="AN33" s="71"/>
      <c r="AO33" s="96" t="str">
        <f>tbl_learners_info[[#This Row],[Last Name, First Name, Middle Initial ]]</f>
        <v>STONE, EMMA LOUISE</v>
      </c>
      <c r="AP33" s="71">
        <v>80</v>
      </c>
      <c r="AQ33" s="71">
        <v>81</v>
      </c>
      <c r="AR33" s="71">
        <v>91</v>
      </c>
      <c r="AS33" s="71">
        <v>81</v>
      </c>
      <c r="AT33" s="71">
        <v>90</v>
      </c>
      <c r="AU33" s="71">
        <v>80</v>
      </c>
      <c r="AV33" s="71">
        <v>93</v>
      </c>
      <c r="AW33" s="71">
        <v>83</v>
      </c>
      <c r="AX33" s="71">
        <v>91</v>
      </c>
      <c r="AY33" s="71">
        <v>81</v>
      </c>
      <c r="AZ33" s="71">
        <v>92</v>
      </c>
      <c r="BA33" s="71">
        <v>80</v>
      </c>
      <c r="BB33" s="71">
        <v>90</v>
      </c>
      <c r="BC33" s="71">
        <v>81</v>
      </c>
      <c r="BD33" s="71"/>
      <c r="BE33" s="71"/>
      <c r="BF33" s="71"/>
      <c r="BG33" s="71"/>
      <c r="BH33" s="71"/>
      <c r="BI33" s="71"/>
      <c r="BJ33" s="96" t="str">
        <f>tbl_learners_info[[#This Row],[Last Name, First Name, Middle Initial ]]</f>
        <v>STONE, EMMA LOUISE</v>
      </c>
      <c r="BK33" s="71">
        <v>0</v>
      </c>
      <c r="BL33" s="71">
        <v>0</v>
      </c>
      <c r="BM33" s="71">
        <v>0</v>
      </c>
      <c r="BN33" s="71">
        <v>0</v>
      </c>
      <c r="BO33" s="71">
        <v>0</v>
      </c>
      <c r="BP33" s="71">
        <v>0</v>
      </c>
      <c r="BQ33" s="71">
        <v>0</v>
      </c>
      <c r="BR33" s="71">
        <v>0</v>
      </c>
      <c r="BS33" s="71">
        <v>0</v>
      </c>
      <c r="BT33" s="71">
        <v>0</v>
      </c>
      <c r="BU33" s="71">
        <v>0</v>
      </c>
    </row>
    <row r="34" spans="3:73" ht="19.95" customHeight="1" x14ac:dyDescent="0.3">
      <c r="C34" s="4"/>
      <c r="D34" s="7"/>
      <c r="E34" s="7"/>
      <c r="F34" s="5"/>
      <c r="G34" s="5"/>
      <c r="H34" s="5"/>
      <c r="I34" s="6"/>
      <c r="J34" s="6"/>
      <c r="K34" s="9"/>
      <c r="L34" s="64"/>
      <c r="M34" s="6"/>
      <c r="N34" s="75"/>
      <c r="O34" s="74"/>
      <c r="P3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4" s="94" t="str">
        <f ca="1">IF(tbl_learners_info[[#This Row],[Date of Birth]]&lt;&gt;0,DATEDIF(tbl_learners_info[[#This Row],[Date of Birth]], TODAY(), "Y"),"")</f>
        <v/>
      </c>
      <c r="S34" s="95" t="str">
        <f>IF(tbl_learners_info[[#This Row],[Name of Previous School]]&lt;&gt;"",IF(tbl_learners_info[[#This Row],[Name of Previous School]]="EAST GUSA NATIONAL HIGH SCHOOL","NO","YES"),"")</f>
        <v/>
      </c>
      <c r="T34" s="96" t="str">
        <f>tbl_learners_info[[#This Row],[Full Name (Spelled Out)]]</f>
        <v/>
      </c>
      <c r="U34" s="71"/>
      <c r="V34" s="71"/>
      <c r="W34" s="71"/>
      <c r="X34" s="71"/>
      <c r="Y34" s="71"/>
      <c r="Z34" s="71"/>
      <c r="AA34" s="71"/>
      <c r="AB34" s="71"/>
      <c r="AC34" s="71"/>
      <c r="AD34" s="71"/>
      <c r="AE34" s="71"/>
      <c r="AF34" s="71"/>
      <c r="AG34" s="71"/>
      <c r="AH34" s="71"/>
      <c r="AI34" s="71"/>
      <c r="AJ34" s="71"/>
      <c r="AK34" s="71"/>
      <c r="AL34" s="71"/>
      <c r="AM34" s="71"/>
      <c r="AN34" s="71"/>
      <c r="AO34" s="96" t="str">
        <f>tbl_learners_info[[#This Row],[Last Name, First Name, Middle Initial ]]</f>
        <v/>
      </c>
      <c r="AP34" s="71"/>
      <c r="AQ34" s="71"/>
      <c r="AR34" s="71"/>
      <c r="AS34" s="71"/>
      <c r="AT34" s="71"/>
      <c r="AU34" s="71"/>
      <c r="AV34" s="71"/>
      <c r="AW34" s="71"/>
      <c r="AX34" s="71"/>
      <c r="AY34" s="71"/>
      <c r="AZ34" s="71"/>
      <c r="BA34" s="71"/>
      <c r="BB34" s="71"/>
      <c r="BC34" s="71"/>
      <c r="BD34" s="71"/>
      <c r="BE34" s="71"/>
      <c r="BF34" s="71"/>
      <c r="BG34" s="71"/>
      <c r="BH34" s="71"/>
      <c r="BI34" s="71"/>
      <c r="BJ34" s="96" t="str">
        <f>tbl_learners_info[[#This Row],[Last Name, First Name, Middle Initial ]]</f>
        <v/>
      </c>
      <c r="BK34" s="71"/>
      <c r="BL34" s="71"/>
      <c r="BM34" s="71"/>
      <c r="BN34" s="71"/>
      <c r="BO34" s="71"/>
      <c r="BP34" s="71"/>
      <c r="BQ34" s="71"/>
      <c r="BR34" s="71"/>
      <c r="BS34" s="71"/>
      <c r="BT34" s="71"/>
      <c r="BU34" s="71"/>
    </row>
    <row r="35" spans="3:73" ht="19.95" customHeight="1" x14ac:dyDescent="0.3">
      <c r="C35" s="4"/>
      <c r="D35" s="7"/>
      <c r="E35" s="7"/>
      <c r="F35" s="5"/>
      <c r="G35" s="5"/>
      <c r="H35" s="5"/>
      <c r="I35" s="6"/>
      <c r="J35" s="6"/>
      <c r="K35" s="8"/>
      <c r="L35" s="65"/>
      <c r="M35" s="6"/>
      <c r="N35" s="75"/>
      <c r="O35" s="74"/>
      <c r="P3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5" s="94" t="str">
        <f ca="1">IF(tbl_learners_info[[#This Row],[Date of Birth]]&lt;&gt;0,DATEDIF(tbl_learners_info[[#This Row],[Date of Birth]], TODAY(), "Y"),"")</f>
        <v/>
      </c>
      <c r="S35" s="95" t="str">
        <f>IF(tbl_learners_info[[#This Row],[Name of Previous School]]&lt;&gt;"",IF(tbl_learners_info[[#This Row],[Name of Previous School]]="EAST GUSA NATIONAL HIGH SCHOOL","NO","YES"),"")</f>
        <v/>
      </c>
      <c r="T35" s="96" t="str">
        <f>tbl_learners_info[[#This Row],[Full Name (Spelled Out)]]</f>
        <v/>
      </c>
      <c r="U35" s="71"/>
      <c r="V35" s="71"/>
      <c r="W35" s="71"/>
      <c r="X35" s="71"/>
      <c r="Y35" s="71"/>
      <c r="Z35" s="71"/>
      <c r="AA35" s="71"/>
      <c r="AB35" s="71"/>
      <c r="AC35" s="71"/>
      <c r="AD35" s="71"/>
      <c r="AE35" s="71"/>
      <c r="AF35" s="71"/>
      <c r="AG35" s="71"/>
      <c r="AH35" s="71"/>
      <c r="AI35" s="71"/>
      <c r="AJ35" s="71"/>
      <c r="AK35" s="71"/>
      <c r="AL35" s="71"/>
      <c r="AM35" s="71"/>
      <c r="AN35" s="71"/>
      <c r="AO35" s="96" t="str">
        <f>tbl_learners_info[[#This Row],[Last Name, First Name, Middle Initial ]]</f>
        <v/>
      </c>
      <c r="AP35" s="71"/>
      <c r="AQ35" s="71"/>
      <c r="AR35" s="71"/>
      <c r="AS35" s="71"/>
      <c r="AT35" s="71"/>
      <c r="AU35" s="71"/>
      <c r="AV35" s="71"/>
      <c r="AW35" s="71"/>
      <c r="AX35" s="71"/>
      <c r="AY35" s="71"/>
      <c r="AZ35" s="71"/>
      <c r="BA35" s="71"/>
      <c r="BB35" s="71"/>
      <c r="BC35" s="71"/>
      <c r="BD35" s="71"/>
      <c r="BE35" s="71"/>
      <c r="BF35" s="71"/>
      <c r="BG35" s="71"/>
      <c r="BH35" s="71"/>
      <c r="BI35" s="71"/>
      <c r="BJ35" s="96" t="str">
        <f>tbl_learners_info[[#This Row],[Last Name, First Name, Middle Initial ]]</f>
        <v/>
      </c>
      <c r="BK35" s="71"/>
      <c r="BL35" s="71"/>
      <c r="BM35" s="71"/>
      <c r="BN35" s="71"/>
      <c r="BO35" s="71"/>
      <c r="BP35" s="71"/>
      <c r="BQ35" s="71"/>
      <c r="BR35" s="71"/>
      <c r="BS35" s="71"/>
      <c r="BT35" s="71"/>
      <c r="BU35" s="71"/>
    </row>
    <row r="36" spans="3:73" ht="19.95" customHeight="1" x14ac:dyDescent="0.3">
      <c r="C36" s="4"/>
      <c r="D36" s="7"/>
      <c r="E36" s="7"/>
      <c r="F36" s="5"/>
      <c r="G36" s="5"/>
      <c r="H36" s="5"/>
      <c r="I36" s="6"/>
      <c r="J36" s="6"/>
      <c r="K36" s="9"/>
      <c r="L36" s="64"/>
      <c r="M36" s="6"/>
      <c r="N36" s="75"/>
      <c r="O36" s="74"/>
      <c r="P3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6" s="94" t="str">
        <f ca="1">IF(tbl_learners_info[[#This Row],[Date of Birth]]&lt;&gt;0,DATEDIF(tbl_learners_info[[#This Row],[Date of Birth]], TODAY(), "Y"),"")</f>
        <v/>
      </c>
      <c r="S36" s="95" t="str">
        <f>IF(tbl_learners_info[[#This Row],[Name of Previous School]]&lt;&gt;"",IF(tbl_learners_info[[#This Row],[Name of Previous School]]="EAST GUSA NATIONAL HIGH SCHOOL","NO","YES"),"")</f>
        <v/>
      </c>
      <c r="T36" s="96" t="str">
        <f>tbl_learners_info[[#This Row],[Full Name (Spelled Out)]]</f>
        <v/>
      </c>
      <c r="U36" s="71"/>
      <c r="V36" s="71"/>
      <c r="W36" s="71"/>
      <c r="X36" s="71"/>
      <c r="Y36" s="71"/>
      <c r="Z36" s="71"/>
      <c r="AA36" s="71"/>
      <c r="AB36" s="71"/>
      <c r="AC36" s="71"/>
      <c r="AD36" s="71"/>
      <c r="AE36" s="71"/>
      <c r="AF36" s="71"/>
      <c r="AG36" s="71"/>
      <c r="AH36" s="71"/>
      <c r="AI36" s="71"/>
      <c r="AJ36" s="71"/>
      <c r="AK36" s="71"/>
      <c r="AL36" s="71"/>
      <c r="AM36" s="71"/>
      <c r="AN36" s="71"/>
      <c r="AO36" s="96" t="str">
        <f>tbl_learners_info[[#This Row],[Last Name, First Name, Middle Initial ]]</f>
        <v/>
      </c>
      <c r="AP36" s="71"/>
      <c r="AQ36" s="71"/>
      <c r="AR36" s="71"/>
      <c r="AS36" s="71"/>
      <c r="AT36" s="71"/>
      <c r="AU36" s="71"/>
      <c r="AV36" s="71"/>
      <c r="AW36" s="71"/>
      <c r="AX36" s="71"/>
      <c r="AY36" s="71"/>
      <c r="AZ36" s="71"/>
      <c r="BA36" s="71"/>
      <c r="BB36" s="71"/>
      <c r="BC36" s="71"/>
      <c r="BD36" s="71"/>
      <c r="BE36" s="71"/>
      <c r="BF36" s="71"/>
      <c r="BG36" s="71"/>
      <c r="BH36" s="71"/>
      <c r="BI36" s="71"/>
      <c r="BJ36" s="96" t="str">
        <f>tbl_learners_info[[#This Row],[Last Name, First Name, Middle Initial ]]</f>
        <v/>
      </c>
      <c r="BK36" s="71"/>
      <c r="BL36" s="71"/>
      <c r="BM36" s="71"/>
      <c r="BN36" s="71"/>
      <c r="BO36" s="71"/>
      <c r="BP36" s="71"/>
      <c r="BQ36" s="71"/>
      <c r="BR36" s="71"/>
      <c r="BS36" s="71"/>
      <c r="BT36" s="71"/>
      <c r="BU36" s="71"/>
    </row>
    <row r="37" spans="3:73" ht="19.95" customHeight="1" x14ac:dyDescent="0.3">
      <c r="C37" s="4"/>
      <c r="D37" s="7"/>
      <c r="E37" s="7"/>
      <c r="F37" s="5"/>
      <c r="G37" s="5"/>
      <c r="H37" s="5"/>
      <c r="I37" s="6"/>
      <c r="J37" s="6"/>
      <c r="K37" s="8"/>
      <c r="L37" s="65"/>
      <c r="M37" s="6"/>
      <c r="N37" s="75"/>
      <c r="O37" s="74"/>
      <c r="P3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7" s="94" t="str">
        <f ca="1">IF(tbl_learners_info[[#This Row],[Date of Birth]]&lt;&gt;0,DATEDIF(tbl_learners_info[[#This Row],[Date of Birth]], TODAY(), "Y"),"")</f>
        <v/>
      </c>
      <c r="S37" s="95" t="str">
        <f>IF(tbl_learners_info[[#This Row],[Name of Previous School]]&lt;&gt;"",IF(tbl_learners_info[[#This Row],[Name of Previous School]]="EAST GUSA NATIONAL HIGH SCHOOL","NO","YES"),"")</f>
        <v/>
      </c>
      <c r="T37" s="96" t="str">
        <f>tbl_learners_info[[#This Row],[Full Name (Spelled Out)]]</f>
        <v/>
      </c>
      <c r="U37" s="71"/>
      <c r="V37" s="71"/>
      <c r="W37" s="71"/>
      <c r="X37" s="71"/>
      <c r="Y37" s="71"/>
      <c r="Z37" s="71"/>
      <c r="AA37" s="71"/>
      <c r="AB37" s="71"/>
      <c r="AC37" s="71"/>
      <c r="AD37" s="71"/>
      <c r="AE37" s="71"/>
      <c r="AF37" s="71"/>
      <c r="AG37" s="71"/>
      <c r="AH37" s="71"/>
      <c r="AI37" s="71"/>
      <c r="AJ37" s="71"/>
      <c r="AK37" s="71"/>
      <c r="AL37" s="71"/>
      <c r="AM37" s="71"/>
      <c r="AN37" s="71"/>
      <c r="AO37" s="96" t="str">
        <f>tbl_learners_info[[#This Row],[Last Name, First Name, Middle Initial ]]</f>
        <v/>
      </c>
      <c r="AP37" s="71"/>
      <c r="AQ37" s="71"/>
      <c r="AR37" s="71"/>
      <c r="AS37" s="71"/>
      <c r="AT37" s="71"/>
      <c r="AU37" s="71"/>
      <c r="AV37" s="71"/>
      <c r="AW37" s="71"/>
      <c r="AX37" s="71"/>
      <c r="AY37" s="71"/>
      <c r="AZ37" s="71"/>
      <c r="BA37" s="71"/>
      <c r="BB37" s="71"/>
      <c r="BC37" s="71"/>
      <c r="BD37" s="71"/>
      <c r="BE37" s="71"/>
      <c r="BF37" s="71"/>
      <c r="BG37" s="71"/>
      <c r="BH37" s="71"/>
      <c r="BI37" s="71"/>
      <c r="BJ37" s="96" t="str">
        <f>tbl_learners_info[[#This Row],[Last Name, First Name, Middle Initial ]]</f>
        <v/>
      </c>
      <c r="BK37" s="71"/>
      <c r="BL37" s="71"/>
      <c r="BM37" s="71"/>
      <c r="BN37" s="71"/>
      <c r="BO37" s="71"/>
      <c r="BP37" s="71"/>
      <c r="BQ37" s="71"/>
      <c r="BR37" s="71"/>
      <c r="BS37" s="71"/>
      <c r="BT37" s="71"/>
      <c r="BU37" s="71"/>
    </row>
    <row r="38" spans="3:73" ht="19.95" customHeight="1" x14ac:dyDescent="0.3">
      <c r="C38" s="4"/>
      <c r="D38" s="7"/>
      <c r="E38" s="7"/>
      <c r="F38" s="5"/>
      <c r="G38" s="5"/>
      <c r="H38" s="5"/>
      <c r="I38" s="6"/>
      <c r="J38" s="6"/>
      <c r="K38" s="9"/>
      <c r="L38" s="64"/>
      <c r="M38" s="6"/>
      <c r="N38" s="75"/>
      <c r="O38" s="74"/>
      <c r="P3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8" s="94" t="str">
        <f ca="1">IF(tbl_learners_info[[#This Row],[Date of Birth]]&lt;&gt;0,DATEDIF(tbl_learners_info[[#This Row],[Date of Birth]], TODAY(), "Y"),"")</f>
        <v/>
      </c>
      <c r="S38" s="95" t="str">
        <f>IF(tbl_learners_info[[#This Row],[Name of Previous School]]&lt;&gt;"",IF(tbl_learners_info[[#This Row],[Name of Previous School]]="EAST GUSA NATIONAL HIGH SCHOOL","NO","YES"),"")</f>
        <v/>
      </c>
      <c r="T38" s="96" t="str">
        <f>tbl_learners_info[[#This Row],[Full Name (Spelled Out)]]</f>
        <v/>
      </c>
      <c r="U38" s="71"/>
      <c r="V38" s="71"/>
      <c r="W38" s="71"/>
      <c r="X38" s="71"/>
      <c r="Y38" s="71"/>
      <c r="Z38" s="71"/>
      <c r="AA38" s="71"/>
      <c r="AB38" s="71"/>
      <c r="AC38" s="71"/>
      <c r="AD38" s="71"/>
      <c r="AE38" s="71"/>
      <c r="AF38" s="71"/>
      <c r="AG38" s="71"/>
      <c r="AH38" s="71"/>
      <c r="AI38" s="71"/>
      <c r="AJ38" s="71"/>
      <c r="AK38" s="71"/>
      <c r="AL38" s="71"/>
      <c r="AM38" s="71"/>
      <c r="AN38" s="71"/>
      <c r="AO38" s="96" t="str">
        <f>tbl_learners_info[[#This Row],[Last Name, First Name, Middle Initial ]]</f>
        <v/>
      </c>
      <c r="AP38" s="71"/>
      <c r="AQ38" s="71"/>
      <c r="AR38" s="71"/>
      <c r="AS38" s="71"/>
      <c r="AT38" s="71"/>
      <c r="AU38" s="71"/>
      <c r="AV38" s="71"/>
      <c r="AW38" s="71"/>
      <c r="AX38" s="71"/>
      <c r="AY38" s="71"/>
      <c r="AZ38" s="71"/>
      <c r="BA38" s="71"/>
      <c r="BB38" s="71"/>
      <c r="BC38" s="71"/>
      <c r="BD38" s="71"/>
      <c r="BE38" s="71"/>
      <c r="BF38" s="71"/>
      <c r="BG38" s="71"/>
      <c r="BH38" s="71"/>
      <c r="BI38" s="71"/>
      <c r="BJ38" s="96" t="str">
        <f>tbl_learners_info[[#This Row],[Last Name, First Name, Middle Initial ]]</f>
        <v/>
      </c>
      <c r="BK38" s="71"/>
      <c r="BL38" s="71"/>
      <c r="BM38" s="71"/>
      <c r="BN38" s="71"/>
      <c r="BO38" s="71"/>
      <c r="BP38" s="71"/>
      <c r="BQ38" s="71"/>
      <c r="BR38" s="71"/>
      <c r="BS38" s="71"/>
      <c r="BT38" s="71"/>
      <c r="BU38" s="71"/>
    </row>
    <row r="39" spans="3:73" ht="19.95" customHeight="1" x14ac:dyDescent="0.3">
      <c r="C39" s="4"/>
      <c r="D39" s="7"/>
      <c r="E39" s="7"/>
      <c r="F39" s="5"/>
      <c r="G39" s="5"/>
      <c r="H39" s="5"/>
      <c r="I39" s="6"/>
      <c r="J39" s="6"/>
      <c r="K39" s="8"/>
      <c r="L39" s="65"/>
      <c r="M39" s="6"/>
      <c r="N39" s="75"/>
      <c r="O39" s="74"/>
      <c r="P3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9" s="94" t="str">
        <f ca="1">IF(tbl_learners_info[[#This Row],[Date of Birth]]&lt;&gt;0,DATEDIF(tbl_learners_info[[#This Row],[Date of Birth]], TODAY(), "Y"),"")</f>
        <v/>
      </c>
      <c r="S39" s="95" t="str">
        <f>IF(tbl_learners_info[[#This Row],[Name of Previous School]]&lt;&gt;"",IF(tbl_learners_info[[#This Row],[Name of Previous School]]="EAST GUSA NATIONAL HIGH SCHOOL","NO","YES"),"")</f>
        <v/>
      </c>
      <c r="T39" s="96" t="str">
        <f>tbl_learners_info[[#This Row],[Full Name (Spelled Out)]]</f>
        <v/>
      </c>
      <c r="U39" s="71"/>
      <c r="V39" s="71"/>
      <c r="W39" s="71"/>
      <c r="X39" s="71"/>
      <c r="Y39" s="71"/>
      <c r="Z39" s="71"/>
      <c r="AA39" s="71"/>
      <c r="AB39" s="71"/>
      <c r="AC39" s="71"/>
      <c r="AD39" s="71"/>
      <c r="AE39" s="71"/>
      <c r="AF39" s="71"/>
      <c r="AG39" s="71"/>
      <c r="AH39" s="71"/>
      <c r="AI39" s="71"/>
      <c r="AJ39" s="71"/>
      <c r="AK39" s="71"/>
      <c r="AL39" s="71"/>
      <c r="AM39" s="71"/>
      <c r="AN39" s="71"/>
      <c r="AO39" s="96" t="str">
        <f>tbl_learners_info[[#This Row],[Last Name, First Name, Middle Initial ]]</f>
        <v/>
      </c>
      <c r="AP39" s="71"/>
      <c r="AQ39" s="71"/>
      <c r="AR39" s="71"/>
      <c r="AS39" s="71"/>
      <c r="AT39" s="71"/>
      <c r="AU39" s="71"/>
      <c r="AV39" s="71"/>
      <c r="AW39" s="71"/>
      <c r="AX39" s="71"/>
      <c r="AY39" s="71"/>
      <c r="AZ39" s="71"/>
      <c r="BA39" s="71"/>
      <c r="BB39" s="71"/>
      <c r="BC39" s="71"/>
      <c r="BD39" s="71"/>
      <c r="BE39" s="71"/>
      <c r="BF39" s="71"/>
      <c r="BG39" s="71"/>
      <c r="BH39" s="71"/>
      <c r="BI39" s="71"/>
      <c r="BJ39" s="96" t="str">
        <f>tbl_learners_info[[#This Row],[Last Name, First Name, Middle Initial ]]</f>
        <v/>
      </c>
      <c r="BK39" s="71"/>
      <c r="BL39" s="71"/>
      <c r="BM39" s="71"/>
      <c r="BN39" s="71"/>
      <c r="BO39" s="71"/>
      <c r="BP39" s="71"/>
      <c r="BQ39" s="71"/>
      <c r="BR39" s="71"/>
      <c r="BS39" s="71"/>
      <c r="BT39" s="71"/>
      <c r="BU39" s="71"/>
    </row>
    <row r="40" spans="3:73" ht="19.95" customHeight="1" x14ac:dyDescent="0.3">
      <c r="C40" s="4"/>
      <c r="D40" s="7"/>
      <c r="E40" s="7"/>
      <c r="F40" s="5"/>
      <c r="G40" s="5"/>
      <c r="H40" s="5"/>
      <c r="I40" s="6"/>
      <c r="J40" s="6"/>
      <c r="K40" s="8"/>
      <c r="L40" s="65"/>
      <c r="M40" s="6"/>
      <c r="N40" s="75"/>
      <c r="O40" s="74"/>
      <c r="P4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0" s="94" t="str">
        <f ca="1">IF(tbl_learners_info[[#This Row],[Date of Birth]]&lt;&gt;0,DATEDIF(tbl_learners_info[[#This Row],[Date of Birth]], TODAY(), "Y"),"")</f>
        <v/>
      </c>
      <c r="S40" s="95" t="str">
        <f>IF(tbl_learners_info[[#This Row],[Name of Previous School]]&lt;&gt;"",IF(tbl_learners_info[[#This Row],[Name of Previous School]]="EAST GUSA NATIONAL HIGH SCHOOL","NO","YES"),"")</f>
        <v/>
      </c>
      <c r="T40" s="96" t="str">
        <f>tbl_learners_info[[#This Row],[Full Name (Spelled Out)]]</f>
        <v/>
      </c>
      <c r="U40" s="71"/>
      <c r="V40" s="71"/>
      <c r="W40" s="71"/>
      <c r="X40" s="71"/>
      <c r="Y40" s="71"/>
      <c r="Z40" s="71"/>
      <c r="AA40" s="71"/>
      <c r="AB40" s="71"/>
      <c r="AC40" s="71"/>
      <c r="AD40" s="71"/>
      <c r="AE40" s="71"/>
      <c r="AF40" s="71"/>
      <c r="AG40" s="71"/>
      <c r="AH40" s="71"/>
      <c r="AI40" s="71"/>
      <c r="AJ40" s="71"/>
      <c r="AK40" s="71"/>
      <c r="AL40" s="71"/>
      <c r="AM40" s="71"/>
      <c r="AN40" s="71"/>
      <c r="AO40" s="96" t="str">
        <f>tbl_learners_info[[#This Row],[Last Name, First Name, Middle Initial ]]</f>
        <v/>
      </c>
      <c r="AP40" s="71"/>
      <c r="AQ40" s="71"/>
      <c r="AR40" s="71"/>
      <c r="AS40" s="71"/>
      <c r="AT40" s="71"/>
      <c r="AU40" s="71"/>
      <c r="AV40" s="71"/>
      <c r="AW40" s="71"/>
      <c r="AX40" s="71"/>
      <c r="AY40" s="71"/>
      <c r="AZ40" s="71"/>
      <c r="BA40" s="71"/>
      <c r="BB40" s="71"/>
      <c r="BC40" s="71"/>
      <c r="BD40" s="71"/>
      <c r="BE40" s="71"/>
      <c r="BF40" s="71"/>
      <c r="BG40" s="71"/>
      <c r="BH40" s="71"/>
      <c r="BI40" s="71"/>
      <c r="BJ40" s="96" t="str">
        <f>tbl_learners_info[[#This Row],[Last Name, First Name, Middle Initial ]]</f>
        <v/>
      </c>
      <c r="BK40" s="71"/>
      <c r="BL40" s="71"/>
      <c r="BM40" s="71"/>
      <c r="BN40" s="71"/>
      <c r="BO40" s="71"/>
      <c r="BP40" s="71"/>
      <c r="BQ40" s="71"/>
      <c r="BR40" s="71"/>
      <c r="BS40" s="71"/>
      <c r="BT40" s="71"/>
      <c r="BU40" s="71"/>
    </row>
    <row r="41" spans="3:73" ht="19.95" customHeight="1" x14ac:dyDescent="0.3">
      <c r="C41" s="4"/>
      <c r="D41" s="7"/>
      <c r="E41" s="7"/>
      <c r="F41" s="5"/>
      <c r="G41" s="5"/>
      <c r="H41" s="5"/>
      <c r="I41" s="6"/>
      <c r="J41" s="6"/>
      <c r="K41" s="8"/>
      <c r="L41" s="65"/>
      <c r="M41" s="6"/>
      <c r="N41" s="75"/>
      <c r="O41" s="74"/>
      <c r="P4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1" s="94" t="str">
        <f ca="1">IF(tbl_learners_info[[#This Row],[Date of Birth]]&lt;&gt;0,DATEDIF(tbl_learners_info[[#This Row],[Date of Birth]], TODAY(), "Y"),"")</f>
        <v/>
      </c>
      <c r="S41" s="95" t="str">
        <f>IF(tbl_learners_info[[#This Row],[Name of Previous School]]&lt;&gt;"",IF(tbl_learners_info[[#This Row],[Name of Previous School]]="EAST GUSA NATIONAL HIGH SCHOOL","NO","YES"),"")</f>
        <v/>
      </c>
      <c r="T41" s="96" t="str">
        <f>tbl_learners_info[[#This Row],[Full Name (Spelled Out)]]</f>
        <v/>
      </c>
      <c r="U41" s="71"/>
      <c r="V41" s="71"/>
      <c r="W41" s="71"/>
      <c r="X41" s="71"/>
      <c r="Y41" s="71"/>
      <c r="Z41" s="71"/>
      <c r="AA41" s="71"/>
      <c r="AB41" s="71"/>
      <c r="AC41" s="71"/>
      <c r="AD41" s="71"/>
      <c r="AE41" s="71"/>
      <c r="AF41" s="71"/>
      <c r="AG41" s="71"/>
      <c r="AH41" s="71"/>
      <c r="AI41" s="71"/>
      <c r="AJ41" s="71"/>
      <c r="AK41" s="71"/>
      <c r="AL41" s="71"/>
      <c r="AM41" s="71"/>
      <c r="AN41" s="71"/>
      <c r="AO41" s="96" t="str">
        <f>tbl_learners_info[[#This Row],[Last Name, First Name, Middle Initial ]]</f>
        <v/>
      </c>
      <c r="AP41" s="71"/>
      <c r="AQ41" s="71"/>
      <c r="AR41" s="71"/>
      <c r="AS41" s="71"/>
      <c r="AT41" s="71"/>
      <c r="AU41" s="71"/>
      <c r="AV41" s="71"/>
      <c r="AW41" s="71"/>
      <c r="AX41" s="71"/>
      <c r="AY41" s="71"/>
      <c r="AZ41" s="71"/>
      <c r="BA41" s="71"/>
      <c r="BB41" s="71"/>
      <c r="BC41" s="71"/>
      <c r="BD41" s="71"/>
      <c r="BE41" s="71"/>
      <c r="BF41" s="71"/>
      <c r="BG41" s="71"/>
      <c r="BH41" s="71"/>
      <c r="BI41" s="71"/>
      <c r="BJ41" s="96" t="str">
        <f>tbl_learners_info[[#This Row],[Last Name, First Name, Middle Initial ]]</f>
        <v/>
      </c>
      <c r="BK41" s="71"/>
      <c r="BL41" s="71"/>
      <c r="BM41" s="71"/>
      <c r="BN41" s="71"/>
      <c r="BO41" s="71"/>
      <c r="BP41" s="71"/>
      <c r="BQ41" s="71"/>
      <c r="BR41" s="71"/>
      <c r="BS41" s="71"/>
      <c r="BT41" s="71"/>
      <c r="BU41" s="71"/>
    </row>
    <row r="42" spans="3:73" ht="19.95" customHeight="1" x14ac:dyDescent="0.3">
      <c r="C42" s="80"/>
      <c r="D42" s="80"/>
      <c r="E42" s="80"/>
      <c r="F42" s="80"/>
      <c r="G42" s="80"/>
      <c r="H42" s="80"/>
      <c r="I42" s="6"/>
      <c r="J42" s="80"/>
      <c r="K42" s="80"/>
      <c r="L42" s="81"/>
      <c r="M42" s="82"/>
      <c r="N42" s="3"/>
      <c r="O42" s="83"/>
      <c r="P4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2" s="94" t="str">
        <f ca="1">IF(tbl_learners_info[[#This Row],[Date of Birth]]&lt;&gt;0,DATEDIF(tbl_learners_info[[#This Row],[Date of Birth]], TODAY(), "Y"),"")</f>
        <v/>
      </c>
      <c r="S42" s="95" t="str">
        <f>IF(tbl_learners_info[[#This Row],[Name of Previous School]]&lt;&gt;"",IF(tbl_learners_info[[#This Row],[Name of Previous School]]="EAST GUSA NATIONAL HIGH SCHOOL","NO","YES"),"")</f>
        <v/>
      </c>
      <c r="T42" s="96" t="str">
        <f>tbl_learners_info[[#This Row],[Full Name (Spelled Out)]]</f>
        <v/>
      </c>
      <c r="U42" s="71"/>
      <c r="V42" s="71"/>
      <c r="W42" s="71"/>
      <c r="X42" s="71"/>
      <c r="Y42" s="71"/>
      <c r="Z42" s="71"/>
      <c r="AA42" s="71"/>
      <c r="AB42" s="71"/>
      <c r="AC42" s="71"/>
      <c r="AD42" s="71"/>
      <c r="AE42" s="71"/>
      <c r="AF42" s="71"/>
      <c r="AG42" s="71"/>
      <c r="AH42" s="71"/>
      <c r="AI42" s="71"/>
      <c r="AJ42" s="71"/>
      <c r="AK42" s="71"/>
      <c r="AL42" s="71"/>
      <c r="AM42" s="71"/>
      <c r="AN42" s="71"/>
      <c r="AO42" s="96" t="str">
        <f>tbl_learners_info[[#This Row],[Last Name, First Name, Middle Initial ]]</f>
        <v/>
      </c>
      <c r="AP42" s="71"/>
      <c r="AQ42" s="71"/>
      <c r="AR42" s="71"/>
      <c r="AS42" s="71"/>
      <c r="AT42" s="71"/>
      <c r="AU42" s="71"/>
      <c r="AV42" s="71"/>
      <c r="AW42" s="71"/>
      <c r="AX42" s="71"/>
      <c r="AY42" s="71"/>
      <c r="AZ42" s="71"/>
      <c r="BA42" s="71"/>
      <c r="BB42" s="71"/>
      <c r="BC42" s="71"/>
      <c r="BD42" s="71"/>
      <c r="BE42" s="71"/>
      <c r="BF42" s="71"/>
      <c r="BG42" s="71"/>
      <c r="BH42" s="71"/>
      <c r="BI42" s="71"/>
      <c r="BJ42" s="96" t="str">
        <f>tbl_learners_info[[#This Row],[Last Name, First Name, Middle Initial ]]</f>
        <v/>
      </c>
      <c r="BK42" s="71"/>
      <c r="BL42" s="71"/>
      <c r="BM42" s="71"/>
      <c r="BN42" s="71"/>
      <c r="BO42" s="71"/>
      <c r="BP42" s="71"/>
      <c r="BQ42" s="71"/>
      <c r="BR42" s="71"/>
      <c r="BS42" s="71"/>
      <c r="BT42" s="71"/>
      <c r="BU42" s="71"/>
    </row>
    <row r="43" spans="3:73" ht="19.95" customHeight="1" x14ac:dyDescent="0.3">
      <c r="C43" s="80"/>
      <c r="D43" s="80"/>
      <c r="E43" s="80"/>
      <c r="F43" s="80"/>
      <c r="G43" s="80"/>
      <c r="H43" s="80"/>
      <c r="I43" s="6"/>
      <c r="J43" s="80"/>
      <c r="K43" s="80"/>
      <c r="L43" s="81"/>
      <c r="M43" s="82"/>
      <c r="N43" s="3"/>
      <c r="O43" s="83"/>
      <c r="P4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3" s="94" t="str">
        <f ca="1">IF(tbl_learners_info[[#This Row],[Date of Birth]]&lt;&gt;0,DATEDIF(tbl_learners_info[[#This Row],[Date of Birth]], TODAY(), "Y"),"")</f>
        <v/>
      </c>
      <c r="S43" s="95" t="str">
        <f>IF(tbl_learners_info[[#This Row],[Name of Previous School]]&lt;&gt;"",IF(tbl_learners_info[[#This Row],[Name of Previous School]]="EAST GUSA NATIONAL HIGH SCHOOL","NO","YES"),"")</f>
        <v/>
      </c>
      <c r="T43" s="96" t="str">
        <f>tbl_learners_info[[#This Row],[Full Name (Spelled Out)]]</f>
        <v/>
      </c>
      <c r="U43" s="71"/>
      <c r="V43" s="71"/>
      <c r="W43" s="71"/>
      <c r="X43" s="71"/>
      <c r="Y43" s="71"/>
      <c r="Z43" s="71"/>
      <c r="AA43" s="71"/>
      <c r="AB43" s="71"/>
      <c r="AC43" s="71"/>
      <c r="AD43" s="71"/>
      <c r="AE43" s="71"/>
      <c r="AF43" s="71"/>
      <c r="AG43" s="71"/>
      <c r="AH43" s="71"/>
      <c r="AI43" s="71"/>
      <c r="AJ43" s="71"/>
      <c r="AK43" s="71"/>
      <c r="AL43" s="71"/>
      <c r="AM43" s="71"/>
      <c r="AN43" s="71"/>
      <c r="AO43" s="96" t="str">
        <f>tbl_learners_info[[#This Row],[Last Name, First Name, Middle Initial ]]</f>
        <v/>
      </c>
      <c r="AP43" s="71"/>
      <c r="AQ43" s="71"/>
      <c r="AR43" s="71"/>
      <c r="AS43" s="71"/>
      <c r="AT43" s="71"/>
      <c r="AU43" s="71"/>
      <c r="AV43" s="71"/>
      <c r="AW43" s="71"/>
      <c r="AX43" s="71"/>
      <c r="AY43" s="71"/>
      <c r="AZ43" s="71"/>
      <c r="BA43" s="71"/>
      <c r="BB43" s="71"/>
      <c r="BC43" s="71"/>
      <c r="BD43" s="71"/>
      <c r="BE43" s="71"/>
      <c r="BF43" s="71"/>
      <c r="BG43" s="71"/>
      <c r="BH43" s="71"/>
      <c r="BI43" s="71"/>
      <c r="BJ43" s="96" t="str">
        <f>tbl_learners_info[[#This Row],[Last Name, First Name, Middle Initial ]]</f>
        <v/>
      </c>
      <c r="BK43" s="71"/>
      <c r="BL43" s="71"/>
      <c r="BM43" s="71"/>
      <c r="BN43" s="71"/>
      <c r="BO43" s="71"/>
      <c r="BP43" s="71"/>
      <c r="BQ43" s="71"/>
      <c r="BR43" s="71"/>
      <c r="BS43" s="71"/>
      <c r="BT43" s="71"/>
      <c r="BU43" s="71"/>
    </row>
    <row r="44" spans="3:73" ht="19.95" customHeight="1" x14ac:dyDescent="0.3">
      <c r="C44" s="80"/>
      <c r="D44" s="80"/>
      <c r="E44" s="80"/>
      <c r="F44" s="80"/>
      <c r="G44" s="80"/>
      <c r="H44" s="80"/>
      <c r="I44" s="6"/>
      <c r="J44" s="80"/>
      <c r="K44" s="80"/>
      <c r="L44" s="81"/>
      <c r="M44" s="82"/>
      <c r="N44" s="3"/>
      <c r="O44" s="83"/>
      <c r="P4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4" s="94" t="str">
        <f ca="1">IF(tbl_learners_info[[#This Row],[Date of Birth]]&lt;&gt;0,DATEDIF(tbl_learners_info[[#This Row],[Date of Birth]], TODAY(), "Y"),"")</f>
        <v/>
      </c>
      <c r="S44" s="95" t="str">
        <f>IF(tbl_learners_info[[#This Row],[Name of Previous School]]&lt;&gt;"",IF(tbl_learners_info[[#This Row],[Name of Previous School]]="EAST GUSA NATIONAL HIGH SCHOOL","NO","YES"),"")</f>
        <v/>
      </c>
      <c r="T44" s="96" t="str">
        <f>tbl_learners_info[[#This Row],[Full Name (Spelled Out)]]</f>
        <v/>
      </c>
      <c r="U44" s="71"/>
      <c r="V44" s="71"/>
      <c r="W44" s="71"/>
      <c r="X44" s="71"/>
      <c r="Y44" s="71"/>
      <c r="Z44" s="71"/>
      <c r="AA44" s="71"/>
      <c r="AB44" s="71"/>
      <c r="AC44" s="71"/>
      <c r="AD44" s="71"/>
      <c r="AE44" s="71"/>
      <c r="AF44" s="71"/>
      <c r="AG44" s="71"/>
      <c r="AH44" s="71"/>
      <c r="AI44" s="71"/>
      <c r="AJ44" s="71"/>
      <c r="AK44" s="71"/>
      <c r="AL44" s="71"/>
      <c r="AM44" s="71"/>
      <c r="AN44" s="71"/>
      <c r="AO44" s="96" t="str">
        <f>tbl_learners_info[[#This Row],[Last Name, First Name, Middle Initial ]]</f>
        <v/>
      </c>
      <c r="AP44" s="71"/>
      <c r="AQ44" s="71"/>
      <c r="AR44" s="71"/>
      <c r="AS44" s="71"/>
      <c r="AT44" s="71"/>
      <c r="AU44" s="71"/>
      <c r="AV44" s="71"/>
      <c r="AW44" s="71"/>
      <c r="AX44" s="71"/>
      <c r="AY44" s="71"/>
      <c r="AZ44" s="71"/>
      <c r="BA44" s="71"/>
      <c r="BB44" s="71"/>
      <c r="BC44" s="71"/>
      <c r="BD44" s="71"/>
      <c r="BE44" s="71"/>
      <c r="BF44" s="71"/>
      <c r="BG44" s="71"/>
      <c r="BH44" s="71"/>
      <c r="BI44" s="71"/>
      <c r="BJ44" s="96" t="str">
        <f>tbl_learners_info[[#This Row],[Last Name, First Name, Middle Initial ]]</f>
        <v/>
      </c>
      <c r="BK44" s="71"/>
      <c r="BL44" s="71"/>
      <c r="BM44" s="71"/>
      <c r="BN44" s="71"/>
      <c r="BO44" s="71"/>
      <c r="BP44" s="71"/>
      <c r="BQ44" s="71"/>
      <c r="BR44" s="71"/>
      <c r="BS44" s="71"/>
      <c r="BT44" s="71"/>
      <c r="BU44" s="71"/>
    </row>
    <row r="45" spans="3:73" ht="19.95" customHeight="1" x14ac:dyDescent="0.3">
      <c r="C45" s="80"/>
      <c r="D45" s="80"/>
      <c r="E45" s="80"/>
      <c r="F45" s="80"/>
      <c r="G45" s="80"/>
      <c r="H45" s="80"/>
      <c r="I45" s="6"/>
      <c r="J45" s="80"/>
      <c r="K45" s="80"/>
      <c r="L45" s="81"/>
      <c r="M45" s="82"/>
      <c r="N45" s="3"/>
      <c r="O45" s="83"/>
      <c r="P4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5" s="94" t="str">
        <f ca="1">IF(tbl_learners_info[[#This Row],[Date of Birth]]&lt;&gt;0,DATEDIF(tbl_learners_info[[#This Row],[Date of Birth]], TODAY(), "Y"),"")</f>
        <v/>
      </c>
      <c r="S45" s="95" t="str">
        <f>IF(tbl_learners_info[[#This Row],[Name of Previous School]]&lt;&gt;"",IF(tbl_learners_info[[#This Row],[Name of Previous School]]="EAST GUSA NATIONAL HIGH SCHOOL","NO","YES"),"")</f>
        <v/>
      </c>
      <c r="T45" s="96" t="str">
        <f>tbl_learners_info[[#This Row],[Full Name (Spelled Out)]]</f>
        <v/>
      </c>
      <c r="U45" s="71"/>
      <c r="V45" s="71"/>
      <c r="W45" s="71"/>
      <c r="X45" s="71"/>
      <c r="Y45" s="71"/>
      <c r="Z45" s="71"/>
      <c r="AA45" s="71"/>
      <c r="AB45" s="71"/>
      <c r="AC45" s="71"/>
      <c r="AD45" s="71"/>
      <c r="AE45" s="71"/>
      <c r="AF45" s="71"/>
      <c r="AG45" s="71"/>
      <c r="AH45" s="71"/>
      <c r="AI45" s="71"/>
      <c r="AJ45" s="71"/>
      <c r="AK45" s="71"/>
      <c r="AL45" s="71"/>
      <c r="AM45" s="71"/>
      <c r="AN45" s="71"/>
      <c r="AO45" s="96" t="str">
        <f>tbl_learners_info[[#This Row],[Last Name, First Name, Middle Initial ]]</f>
        <v/>
      </c>
      <c r="AP45" s="71"/>
      <c r="AQ45" s="71"/>
      <c r="AR45" s="71"/>
      <c r="AS45" s="71"/>
      <c r="AT45" s="71"/>
      <c r="AU45" s="71"/>
      <c r="AV45" s="71"/>
      <c r="AW45" s="71"/>
      <c r="AX45" s="71"/>
      <c r="AY45" s="71"/>
      <c r="AZ45" s="71"/>
      <c r="BA45" s="71"/>
      <c r="BB45" s="71"/>
      <c r="BC45" s="71"/>
      <c r="BD45" s="71"/>
      <c r="BE45" s="71"/>
      <c r="BF45" s="71"/>
      <c r="BG45" s="71"/>
      <c r="BH45" s="71"/>
      <c r="BI45" s="71"/>
      <c r="BJ45" s="96" t="str">
        <f>tbl_learners_info[[#This Row],[Last Name, First Name, Middle Initial ]]</f>
        <v/>
      </c>
      <c r="BK45" s="71"/>
      <c r="BL45" s="71"/>
      <c r="BM45" s="71"/>
      <c r="BN45" s="71"/>
      <c r="BO45" s="71"/>
      <c r="BP45" s="71"/>
      <c r="BQ45" s="71"/>
      <c r="BR45" s="71"/>
      <c r="BS45" s="71"/>
      <c r="BT45" s="71"/>
      <c r="BU45" s="71"/>
    </row>
    <row r="46" spans="3:73" ht="19.95" customHeight="1" x14ac:dyDescent="0.3">
      <c r="C46" s="80"/>
      <c r="D46" s="80"/>
      <c r="E46" s="80"/>
      <c r="F46" s="80"/>
      <c r="G46" s="80"/>
      <c r="H46" s="80"/>
      <c r="I46" s="6"/>
      <c r="J46" s="80"/>
      <c r="K46" s="80"/>
      <c r="L46" s="81"/>
      <c r="M46" s="82"/>
      <c r="N46" s="3"/>
      <c r="O46" s="83"/>
      <c r="P4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6" s="94" t="str">
        <f ca="1">IF(tbl_learners_info[[#This Row],[Date of Birth]]&lt;&gt;0,DATEDIF(tbl_learners_info[[#This Row],[Date of Birth]], TODAY(), "Y"),"")</f>
        <v/>
      </c>
      <c r="S46" s="95" t="str">
        <f>IF(tbl_learners_info[[#This Row],[Name of Previous School]]&lt;&gt;"",IF(tbl_learners_info[[#This Row],[Name of Previous School]]="EAST GUSA NATIONAL HIGH SCHOOL","NO","YES"),"")</f>
        <v/>
      </c>
      <c r="T46" s="96" t="str">
        <f>tbl_learners_info[[#This Row],[Full Name (Spelled Out)]]</f>
        <v/>
      </c>
      <c r="U46" s="71"/>
      <c r="V46" s="71"/>
      <c r="W46" s="71"/>
      <c r="X46" s="71"/>
      <c r="Y46" s="71"/>
      <c r="Z46" s="71"/>
      <c r="AA46" s="71"/>
      <c r="AB46" s="71"/>
      <c r="AC46" s="71"/>
      <c r="AD46" s="71"/>
      <c r="AE46" s="71"/>
      <c r="AF46" s="71"/>
      <c r="AG46" s="71"/>
      <c r="AH46" s="71"/>
      <c r="AI46" s="71"/>
      <c r="AJ46" s="71"/>
      <c r="AK46" s="71"/>
      <c r="AL46" s="71"/>
      <c r="AM46" s="71"/>
      <c r="AN46" s="71"/>
      <c r="AO46" s="96" t="str">
        <f>tbl_learners_info[[#This Row],[Last Name, First Name, Middle Initial ]]</f>
        <v/>
      </c>
      <c r="AP46" s="71"/>
      <c r="AQ46" s="71"/>
      <c r="AR46" s="71"/>
      <c r="AS46" s="71"/>
      <c r="AT46" s="71"/>
      <c r="AU46" s="71"/>
      <c r="AV46" s="71"/>
      <c r="AW46" s="71"/>
      <c r="AX46" s="71"/>
      <c r="AY46" s="71"/>
      <c r="AZ46" s="71"/>
      <c r="BA46" s="71"/>
      <c r="BB46" s="71"/>
      <c r="BC46" s="71"/>
      <c r="BD46" s="71"/>
      <c r="BE46" s="71"/>
      <c r="BF46" s="71"/>
      <c r="BG46" s="71"/>
      <c r="BH46" s="71"/>
      <c r="BI46" s="71"/>
      <c r="BJ46" s="96" t="str">
        <f>tbl_learners_info[[#This Row],[Last Name, First Name, Middle Initial ]]</f>
        <v/>
      </c>
      <c r="BK46" s="71"/>
      <c r="BL46" s="71"/>
      <c r="BM46" s="71"/>
      <c r="BN46" s="71"/>
      <c r="BO46" s="71"/>
      <c r="BP46" s="71"/>
      <c r="BQ46" s="71"/>
      <c r="BR46" s="71"/>
      <c r="BS46" s="71"/>
      <c r="BT46" s="71"/>
      <c r="BU46" s="71"/>
    </row>
    <row r="47" spans="3:73" ht="19.95" customHeight="1" x14ac:dyDescent="0.3">
      <c r="C47" s="80"/>
      <c r="D47" s="80"/>
      <c r="E47" s="80"/>
      <c r="F47" s="80"/>
      <c r="G47" s="80"/>
      <c r="H47" s="80"/>
      <c r="I47" s="6"/>
      <c r="J47" s="80"/>
      <c r="K47" s="80"/>
      <c r="L47" s="81"/>
      <c r="M47" s="82"/>
      <c r="N47" s="3"/>
      <c r="O47" s="83"/>
      <c r="P4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7" s="94" t="str">
        <f ca="1">IF(tbl_learners_info[[#This Row],[Date of Birth]]&lt;&gt;0,DATEDIF(tbl_learners_info[[#This Row],[Date of Birth]], TODAY(), "Y"),"")</f>
        <v/>
      </c>
      <c r="S47" s="95" t="str">
        <f>IF(tbl_learners_info[[#This Row],[Name of Previous School]]&lt;&gt;"",IF(tbl_learners_info[[#This Row],[Name of Previous School]]="EAST GUSA NATIONAL HIGH SCHOOL","NO","YES"),"")</f>
        <v/>
      </c>
      <c r="T47" s="96" t="str">
        <f>tbl_learners_info[[#This Row],[Full Name (Spelled Out)]]</f>
        <v/>
      </c>
      <c r="U47" s="71"/>
      <c r="V47" s="71"/>
      <c r="W47" s="71"/>
      <c r="X47" s="71"/>
      <c r="Y47" s="71"/>
      <c r="Z47" s="71"/>
      <c r="AA47" s="71"/>
      <c r="AB47" s="71"/>
      <c r="AC47" s="71"/>
      <c r="AD47" s="71"/>
      <c r="AE47" s="71"/>
      <c r="AF47" s="71"/>
      <c r="AG47" s="71"/>
      <c r="AH47" s="71"/>
      <c r="AI47" s="71"/>
      <c r="AJ47" s="71"/>
      <c r="AK47" s="71"/>
      <c r="AL47" s="71"/>
      <c r="AM47" s="71"/>
      <c r="AN47" s="71"/>
      <c r="AO47" s="96" t="str">
        <f>tbl_learners_info[[#This Row],[Last Name, First Name, Middle Initial ]]</f>
        <v/>
      </c>
      <c r="AP47" s="71"/>
      <c r="AQ47" s="71"/>
      <c r="AR47" s="71"/>
      <c r="AS47" s="71"/>
      <c r="AT47" s="71"/>
      <c r="AU47" s="71"/>
      <c r="AV47" s="71"/>
      <c r="AW47" s="71"/>
      <c r="AX47" s="71"/>
      <c r="AY47" s="71"/>
      <c r="AZ47" s="71"/>
      <c r="BA47" s="71"/>
      <c r="BB47" s="71"/>
      <c r="BC47" s="71"/>
      <c r="BD47" s="71"/>
      <c r="BE47" s="71"/>
      <c r="BF47" s="71"/>
      <c r="BG47" s="71"/>
      <c r="BH47" s="71"/>
      <c r="BI47" s="71"/>
      <c r="BJ47" s="96" t="str">
        <f>tbl_learners_info[[#This Row],[Last Name, First Name, Middle Initial ]]</f>
        <v/>
      </c>
      <c r="BK47" s="71"/>
      <c r="BL47" s="71"/>
      <c r="BM47" s="71"/>
      <c r="BN47" s="71"/>
      <c r="BO47" s="71"/>
      <c r="BP47" s="71"/>
      <c r="BQ47" s="71"/>
      <c r="BR47" s="71"/>
      <c r="BS47" s="71"/>
      <c r="BT47" s="71"/>
      <c r="BU47" s="71"/>
    </row>
    <row r="48" spans="3:73" ht="19.95" customHeight="1" x14ac:dyDescent="0.3">
      <c r="C48" s="80"/>
      <c r="D48" s="80"/>
      <c r="E48" s="80"/>
      <c r="F48" s="80"/>
      <c r="G48" s="80"/>
      <c r="H48" s="80"/>
      <c r="I48" s="6"/>
      <c r="J48" s="80"/>
      <c r="K48" s="80"/>
      <c r="L48" s="81"/>
      <c r="M48" s="82"/>
      <c r="N48" s="3"/>
      <c r="O48" s="83"/>
      <c r="P4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8" s="94" t="str">
        <f ca="1">IF(tbl_learners_info[[#This Row],[Date of Birth]]&lt;&gt;0,DATEDIF(tbl_learners_info[[#This Row],[Date of Birth]], TODAY(), "Y"),"")</f>
        <v/>
      </c>
      <c r="S48" s="95" t="str">
        <f>IF(tbl_learners_info[[#This Row],[Name of Previous School]]&lt;&gt;"",IF(tbl_learners_info[[#This Row],[Name of Previous School]]="EAST GUSA NATIONAL HIGH SCHOOL","NO","YES"),"")</f>
        <v/>
      </c>
      <c r="T48" s="96" t="str">
        <f>tbl_learners_info[[#This Row],[Full Name (Spelled Out)]]</f>
        <v/>
      </c>
      <c r="U48" s="71"/>
      <c r="V48" s="71"/>
      <c r="W48" s="71"/>
      <c r="X48" s="71"/>
      <c r="Y48" s="71"/>
      <c r="Z48" s="71"/>
      <c r="AA48" s="71"/>
      <c r="AB48" s="71"/>
      <c r="AC48" s="71"/>
      <c r="AD48" s="71"/>
      <c r="AE48" s="71"/>
      <c r="AF48" s="71"/>
      <c r="AG48" s="71"/>
      <c r="AH48" s="71"/>
      <c r="AI48" s="71"/>
      <c r="AJ48" s="71"/>
      <c r="AK48" s="71"/>
      <c r="AL48" s="71"/>
      <c r="AM48" s="71"/>
      <c r="AN48" s="71"/>
      <c r="AO48" s="96" t="str">
        <f>tbl_learners_info[[#This Row],[Last Name, First Name, Middle Initial ]]</f>
        <v/>
      </c>
      <c r="AP48" s="71"/>
      <c r="AQ48" s="71"/>
      <c r="AR48" s="71"/>
      <c r="AS48" s="71"/>
      <c r="AT48" s="71"/>
      <c r="AU48" s="71"/>
      <c r="AV48" s="71"/>
      <c r="AW48" s="71"/>
      <c r="AX48" s="71"/>
      <c r="AY48" s="71"/>
      <c r="AZ48" s="71"/>
      <c r="BA48" s="71"/>
      <c r="BB48" s="71"/>
      <c r="BC48" s="71"/>
      <c r="BD48" s="71"/>
      <c r="BE48" s="71"/>
      <c r="BF48" s="71"/>
      <c r="BG48" s="71"/>
      <c r="BH48" s="71"/>
      <c r="BI48" s="71"/>
      <c r="BJ48" s="96" t="str">
        <f>tbl_learners_info[[#This Row],[Last Name, First Name, Middle Initial ]]</f>
        <v/>
      </c>
      <c r="BK48" s="71"/>
      <c r="BL48" s="71"/>
      <c r="BM48" s="71"/>
      <c r="BN48" s="71"/>
      <c r="BO48" s="71"/>
      <c r="BP48" s="71"/>
      <c r="BQ48" s="71"/>
      <c r="BR48" s="71"/>
      <c r="BS48" s="71"/>
      <c r="BT48" s="71"/>
      <c r="BU48" s="71"/>
    </row>
    <row r="49" spans="3:73" ht="19.95" customHeight="1" x14ac:dyDescent="0.3">
      <c r="C49" s="80"/>
      <c r="D49" s="80"/>
      <c r="E49" s="80"/>
      <c r="F49" s="80"/>
      <c r="G49" s="80"/>
      <c r="H49" s="80"/>
      <c r="I49" s="6"/>
      <c r="J49" s="80"/>
      <c r="K49" s="80"/>
      <c r="L49" s="81"/>
      <c r="M49" s="82"/>
      <c r="N49" s="3"/>
      <c r="O49" s="83"/>
      <c r="P4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9" s="94" t="str">
        <f ca="1">IF(tbl_learners_info[[#This Row],[Date of Birth]]&lt;&gt;0,DATEDIF(tbl_learners_info[[#This Row],[Date of Birth]], TODAY(), "Y"),"")</f>
        <v/>
      </c>
      <c r="S49" s="95" t="str">
        <f>IF(tbl_learners_info[[#This Row],[Name of Previous School]]&lt;&gt;"",IF(tbl_learners_info[[#This Row],[Name of Previous School]]="EAST GUSA NATIONAL HIGH SCHOOL","NO","YES"),"")</f>
        <v/>
      </c>
      <c r="T49" s="96" t="str">
        <f>tbl_learners_info[[#This Row],[Full Name (Spelled Out)]]</f>
        <v/>
      </c>
      <c r="U49" s="71"/>
      <c r="V49" s="71"/>
      <c r="W49" s="71"/>
      <c r="X49" s="71"/>
      <c r="Y49" s="71"/>
      <c r="Z49" s="71"/>
      <c r="AA49" s="71"/>
      <c r="AB49" s="71"/>
      <c r="AC49" s="71"/>
      <c r="AD49" s="71"/>
      <c r="AE49" s="71"/>
      <c r="AF49" s="71"/>
      <c r="AG49" s="71"/>
      <c r="AH49" s="71"/>
      <c r="AI49" s="71"/>
      <c r="AJ49" s="71"/>
      <c r="AK49" s="71"/>
      <c r="AL49" s="71"/>
      <c r="AM49" s="71"/>
      <c r="AN49" s="71"/>
      <c r="AO49" s="96" t="str">
        <f>tbl_learners_info[[#This Row],[Last Name, First Name, Middle Initial ]]</f>
        <v/>
      </c>
      <c r="AP49" s="71"/>
      <c r="AQ49" s="71"/>
      <c r="AR49" s="71"/>
      <c r="AS49" s="71"/>
      <c r="AT49" s="71"/>
      <c r="AU49" s="71"/>
      <c r="AV49" s="71"/>
      <c r="AW49" s="71"/>
      <c r="AX49" s="71"/>
      <c r="AY49" s="71"/>
      <c r="AZ49" s="71"/>
      <c r="BA49" s="71"/>
      <c r="BB49" s="71"/>
      <c r="BC49" s="71"/>
      <c r="BD49" s="71"/>
      <c r="BE49" s="71"/>
      <c r="BF49" s="71"/>
      <c r="BG49" s="71"/>
      <c r="BH49" s="71"/>
      <c r="BI49" s="71"/>
      <c r="BJ49" s="96" t="str">
        <f>tbl_learners_info[[#This Row],[Last Name, First Name, Middle Initial ]]</f>
        <v/>
      </c>
      <c r="BK49" s="71"/>
      <c r="BL49" s="71"/>
      <c r="BM49" s="71"/>
      <c r="BN49" s="71"/>
      <c r="BO49" s="71"/>
      <c r="BP49" s="71"/>
      <c r="BQ49" s="71"/>
      <c r="BR49" s="71"/>
      <c r="BS49" s="71"/>
      <c r="BT49" s="71"/>
      <c r="BU49" s="71"/>
    </row>
    <row r="50" spans="3:73" ht="19.95" customHeight="1" x14ac:dyDescent="0.3">
      <c r="C50" s="80"/>
      <c r="D50" s="80"/>
      <c r="E50" s="80"/>
      <c r="F50" s="80"/>
      <c r="G50" s="80"/>
      <c r="H50" s="80"/>
      <c r="I50" s="6"/>
      <c r="J50" s="80"/>
      <c r="K50" s="80"/>
      <c r="L50" s="81"/>
      <c r="M50" s="82"/>
      <c r="N50" s="3"/>
      <c r="O50" s="83"/>
      <c r="P5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0" s="94" t="str">
        <f ca="1">IF(tbl_learners_info[[#This Row],[Date of Birth]]&lt;&gt;0,DATEDIF(tbl_learners_info[[#This Row],[Date of Birth]], TODAY(), "Y"),"")</f>
        <v/>
      </c>
      <c r="S50" s="95" t="str">
        <f>IF(tbl_learners_info[[#This Row],[Name of Previous School]]&lt;&gt;"",IF(tbl_learners_info[[#This Row],[Name of Previous School]]="EAST GUSA NATIONAL HIGH SCHOOL","NO","YES"),"")</f>
        <v/>
      </c>
      <c r="T50" s="96" t="str">
        <f>tbl_learners_info[[#This Row],[Full Name (Spelled Out)]]</f>
        <v/>
      </c>
      <c r="U50" s="71"/>
      <c r="V50" s="71"/>
      <c r="W50" s="71"/>
      <c r="X50" s="71"/>
      <c r="Y50" s="71"/>
      <c r="Z50" s="71"/>
      <c r="AA50" s="71"/>
      <c r="AB50" s="71"/>
      <c r="AC50" s="71"/>
      <c r="AD50" s="71"/>
      <c r="AE50" s="71"/>
      <c r="AF50" s="71"/>
      <c r="AG50" s="71"/>
      <c r="AH50" s="71"/>
      <c r="AI50" s="71"/>
      <c r="AJ50" s="71"/>
      <c r="AK50" s="71"/>
      <c r="AL50" s="71"/>
      <c r="AM50" s="71"/>
      <c r="AN50" s="71"/>
      <c r="AO50" s="96" t="str">
        <f>tbl_learners_info[[#This Row],[Last Name, First Name, Middle Initial ]]</f>
        <v/>
      </c>
      <c r="AP50" s="71"/>
      <c r="AQ50" s="71"/>
      <c r="AR50" s="71"/>
      <c r="AS50" s="71"/>
      <c r="AT50" s="71"/>
      <c r="AU50" s="71"/>
      <c r="AV50" s="71"/>
      <c r="AW50" s="71"/>
      <c r="AX50" s="71"/>
      <c r="AY50" s="71"/>
      <c r="AZ50" s="71"/>
      <c r="BA50" s="71"/>
      <c r="BB50" s="71"/>
      <c r="BC50" s="71"/>
      <c r="BD50" s="71"/>
      <c r="BE50" s="71"/>
      <c r="BF50" s="71"/>
      <c r="BG50" s="71"/>
      <c r="BH50" s="71"/>
      <c r="BI50" s="71"/>
      <c r="BJ50" s="96" t="str">
        <f>tbl_learners_info[[#This Row],[Last Name, First Name, Middle Initial ]]</f>
        <v/>
      </c>
      <c r="BK50" s="71"/>
      <c r="BL50" s="71"/>
      <c r="BM50" s="71"/>
      <c r="BN50" s="71"/>
      <c r="BO50" s="71"/>
      <c r="BP50" s="71"/>
      <c r="BQ50" s="71"/>
      <c r="BR50" s="71"/>
      <c r="BS50" s="71"/>
      <c r="BT50" s="71"/>
      <c r="BU50" s="71"/>
    </row>
    <row r="51" spans="3:73" ht="19.95" customHeight="1" x14ac:dyDescent="0.3">
      <c r="C51" s="80"/>
      <c r="D51" s="80"/>
      <c r="E51" s="80"/>
      <c r="F51" s="80"/>
      <c r="G51" s="80"/>
      <c r="H51" s="80"/>
      <c r="I51" s="6"/>
      <c r="J51" s="80"/>
      <c r="K51" s="80"/>
      <c r="L51" s="81"/>
      <c r="M51" s="82"/>
      <c r="N51" s="3"/>
      <c r="O51" s="83"/>
      <c r="P5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1" s="94" t="str">
        <f ca="1">IF(tbl_learners_info[[#This Row],[Date of Birth]]&lt;&gt;0,DATEDIF(tbl_learners_info[[#This Row],[Date of Birth]], TODAY(), "Y"),"")</f>
        <v/>
      </c>
      <c r="S51" s="95" t="str">
        <f>IF(tbl_learners_info[[#This Row],[Name of Previous School]]&lt;&gt;"",IF(tbl_learners_info[[#This Row],[Name of Previous School]]="EAST GUSA NATIONAL HIGH SCHOOL","NO","YES"),"")</f>
        <v/>
      </c>
      <c r="T51" s="96" t="str">
        <f>tbl_learners_info[[#This Row],[Full Name (Spelled Out)]]</f>
        <v/>
      </c>
      <c r="U51" s="71"/>
      <c r="V51" s="71"/>
      <c r="W51" s="71"/>
      <c r="X51" s="71"/>
      <c r="Y51" s="71"/>
      <c r="Z51" s="71"/>
      <c r="AA51" s="71"/>
      <c r="AB51" s="71"/>
      <c r="AC51" s="71"/>
      <c r="AD51" s="71"/>
      <c r="AE51" s="71"/>
      <c r="AF51" s="71"/>
      <c r="AG51" s="71"/>
      <c r="AH51" s="71"/>
      <c r="AI51" s="71"/>
      <c r="AJ51" s="71"/>
      <c r="AK51" s="71"/>
      <c r="AL51" s="71"/>
      <c r="AM51" s="71"/>
      <c r="AN51" s="71"/>
      <c r="AO51" s="96" t="str">
        <f>tbl_learners_info[[#This Row],[Last Name, First Name, Middle Initial ]]</f>
        <v/>
      </c>
      <c r="AP51" s="71"/>
      <c r="AQ51" s="71"/>
      <c r="AR51" s="71"/>
      <c r="AS51" s="71"/>
      <c r="AT51" s="71"/>
      <c r="AU51" s="71"/>
      <c r="AV51" s="71"/>
      <c r="AW51" s="71"/>
      <c r="AX51" s="71"/>
      <c r="AY51" s="71"/>
      <c r="AZ51" s="71"/>
      <c r="BA51" s="71"/>
      <c r="BB51" s="71"/>
      <c r="BC51" s="71"/>
      <c r="BD51" s="71"/>
      <c r="BE51" s="71"/>
      <c r="BF51" s="71"/>
      <c r="BG51" s="71"/>
      <c r="BH51" s="71"/>
      <c r="BI51" s="71"/>
      <c r="BJ51" s="96" t="str">
        <f>tbl_learners_info[[#This Row],[Last Name, First Name, Middle Initial ]]</f>
        <v/>
      </c>
      <c r="BK51" s="71"/>
      <c r="BL51" s="71"/>
      <c r="BM51" s="71"/>
      <c r="BN51" s="71"/>
      <c r="BO51" s="71"/>
      <c r="BP51" s="71"/>
      <c r="BQ51" s="71"/>
      <c r="BR51" s="71"/>
      <c r="BS51" s="71"/>
      <c r="BT51" s="71"/>
      <c r="BU51" s="71"/>
    </row>
    <row r="52" spans="3:73" ht="19.95" customHeight="1" x14ac:dyDescent="0.3">
      <c r="C52" s="80"/>
      <c r="D52" s="80"/>
      <c r="E52" s="80"/>
      <c r="F52" s="80"/>
      <c r="G52" s="80"/>
      <c r="H52" s="80"/>
      <c r="I52" s="6"/>
      <c r="J52" s="80"/>
      <c r="K52" s="80"/>
      <c r="L52" s="81"/>
      <c r="M52" s="82"/>
      <c r="N52" s="3"/>
      <c r="O52" s="83"/>
      <c r="P5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2" s="94" t="str">
        <f ca="1">IF(tbl_learners_info[[#This Row],[Date of Birth]]&lt;&gt;0,DATEDIF(tbl_learners_info[[#This Row],[Date of Birth]], TODAY(), "Y"),"")</f>
        <v/>
      </c>
      <c r="S52" s="95" t="str">
        <f>IF(tbl_learners_info[[#This Row],[Name of Previous School]]&lt;&gt;"",IF(tbl_learners_info[[#This Row],[Name of Previous School]]="EAST GUSA NATIONAL HIGH SCHOOL","NO","YES"),"")</f>
        <v/>
      </c>
      <c r="T52" s="96" t="str">
        <f>tbl_learners_info[[#This Row],[Full Name (Spelled Out)]]</f>
        <v/>
      </c>
      <c r="U52" s="71"/>
      <c r="V52" s="71"/>
      <c r="W52" s="71"/>
      <c r="X52" s="71"/>
      <c r="Y52" s="71"/>
      <c r="Z52" s="71"/>
      <c r="AA52" s="71"/>
      <c r="AB52" s="71"/>
      <c r="AC52" s="71"/>
      <c r="AD52" s="71"/>
      <c r="AE52" s="71"/>
      <c r="AF52" s="71"/>
      <c r="AG52" s="71"/>
      <c r="AH52" s="71"/>
      <c r="AI52" s="71"/>
      <c r="AJ52" s="71"/>
      <c r="AK52" s="71"/>
      <c r="AL52" s="71"/>
      <c r="AM52" s="71"/>
      <c r="AN52" s="71"/>
      <c r="AO52" s="96" t="str">
        <f>tbl_learners_info[[#This Row],[Last Name, First Name, Middle Initial ]]</f>
        <v/>
      </c>
      <c r="AP52" s="71"/>
      <c r="AQ52" s="71"/>
      <c r="AR52" s="71"/>
      <c r="AS52" s="71"/>
      <c r="AT52" s="71"/>
      <c r="AU52" s="71"/>
      <c r="AV52" s="71"/>
      <c r="AW52" s="71"/>
      <c r="AX52" s="71"/>
      <c r="AY52" s="71"/>
      <c r="AZ52" s="71"/>
      <c r="BA52" s="71"/>
      <c r="BB52" s="71"/>
      <c r="BC52" s="71"/>
      <c r="BD52" s="71"/>
      <c r="BE52" s="71"/>
      <c r="BF52" s="71"/>
      <c r="BG52" s="71"/>
      <c r="BH52" s="71"/>
      <c r="BI52" s="71"/>
      <c r="BJ52" s="96" t="str">
        <f>tbl_learners_info[[#This Row],[Last Name, First Name, Middle Initial ]]</f>
        <v/>
      </c>
      <c r="BK52" s="71"/>
      <c r="BL52" s="71"/>
      <c r="BM52" s="71"/>
      <c r="BN52" s="71"/>
      <c r="BO52" s="71"/>
      <c r="BP52" s="71"/>
      <c r="BQ52" s="71"/>
      <c r="BR52" s="71"/>
      <c r="BS52" s="71"/>
      <c r="BT52" s="71"/>
      <c r="BU52" s="71"/>
    </row>
    <row r="53" spans="3:73" ht="19.95" customHeight="1" x14ac:dyDescent="0.3">
      <c r="C53" s="80"/>
      <c r="D53" s="80"/>
      <c r="E53" s="80"/>
      <c r="F53" s="80"/>
      <c r="G53" s="80"/>
      <c r="H53" s="80"/>
      <c r="I53" s="6"/>
      <c r="J53" s="80"/>
      <c r="K53" s="80"/>
      <c r="L53" s="81"/>
      <c r="M53" s="82"/>
      <c r="N53" s="3"/>
      <c r="O53" s="83"/>
      <c r="P5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3" s="94" t="str">
        <f ca="1">IF(tbl_learners_info[[#This Row],[Date of Birth]]&lt;&gt;0,DATEDIF(tbl_learners_info[[#This Row],[Date of Birth]], TODAY(), "Y"),"")</f>
        <v/>
      </c>
      <c r="S53" s="95" t="str">
        <f>IF(tbl_learners_info[[#This Row],[Name of Previous School]]&lt;&gt;"",IF(tbl_learners_info[[#This Row],[Name of Previous School]]="EAST GUSA NATIONAL HIGH SCHOOL","NO","YES"),"")</f>
        <v/>
      </c>
      <c r="T53" s="96" t="str">
        <f>tbl_learners_info[[#This Row],[Full Name (Spelled Out)]]</f>
        <v/>
      </c>
      <c r="U53" s="71"/>
      <c r="V53" s="71"/>
      <c r="W53" s="71"/>
      <c r="X53" s="71"/>
      <c r="Y53" s="71"/>
      <c r="Z53" s="71"/>
      <c r="AA53" s="71"/>
      <c r="AB53" s="71"/>
      <c r="AC53" s="71"/>
      <c r="AD53" s="71"/>
      <c r="AE53" s="71"/>
      <c r="AF53" s="71"/>
      <c r="AG53" s="71"/>
      <c r="AH53" s="71"/>
      <c r="AI53" s="71"/>
      <c r="AJ53" s="71"/>
      <c r="AK53" s="71"/>
      <c r="AL53" s="71"/>
      <c r="AM53" s="71"/>
      <c r="AN53" s="71"/>
      <c r="AO53" s="96" t="str">
        <f>tbl_learners_info[[#This Row],[Last Name, First Name, Middle Initial ]]</f>
        <v/>
      </c>
      <c r="AP53" s="71"/>
      <c r="AQ53" s="71"/>
      <c r="AR53" s="71"/>
      <c r="AS53" s="71"/>
      <c r="AT53" s="71"/>
      <c r="AU53" s="71"/>
      <c r="AV53" s="71"/>
      <c r="AW53" s="71"/>
      <c r="AX53" s="71"/>
      <c r="AY53" s="71"/>
      <c r="AZ53" s="71"/>
      <c r="BA53" s="71"/>
      <c r="BB53" s="71"/>
      <c r="BC53" s="71"/>
      <c r="BD53" s="71"/>
      <c r="BE53" s="71"/>
      <c r="BF53" s="71"/>
      <c r="BG53" s="71"/>
      <c r="BH53" s="71"/>
      <c r="BI53" s="71"/>
      <c r="BJ53" s="96" t="str">
        <f>tbl_learners_info[[#This Row],[Last Name, First Name, Middle Initial ]]</f>
        <v/>
      </c>
      <c r="BK53" s="71"/>
      <c r="BL53" s="71"/>
      <c r="BM53" s="71"/>
      <c r="BN53" s="71"/>
      <c r="BO53" s="71"/>
      <c r="BP53" s="71"/>
      <c r="BQ53" s="71"/>
      <c r="BR53" s="71"/>
      <c r="BS53" s="71"/>
      <c r="BT53" s="71"/>
      <c r="BU53" s="71"/>
    </row>
    <row r="54" spans="3:73" ht="19.95" customHeight="1" x14ac:dyDescent="0.3">
      <c r="C54" s="80"/>
      <c r="D54" s="80"/>
      <c r="E54" s="80"/>
      <c r="F54" s="80"/>
      <c r="G54" s="80"/>
      <c r="H54" s="80"/>
      <c r="I54" s="6"/>
      <c r="J54" s="80"/>
      <c r="K54" s="80"/>
      <c r="L54" s="81"/>
      <c r="M54" s="82"/>
      <c r="N54" s="3"/>
      <c r="O54" s="83"/>
      <c r="P5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4" s="94" t="str">
        <f ca="1">IF(tbl_learners_info[[#This Row],[Date of Birth]]&lt;&gt;0,DATEDIF(tbl_learners_info[[#This Row],[Date of Birth]], TODAY(), "Y"),"")</f>
        <v/>
      </c>
      <c r="S54" s="95" t="str">
        <f>IF(tbl_learners_info[[#This Row],[Name of Previous School]]&lt;&gt;"",IF(tbl_learners_info[[#This Row],[Name of Previous School]]="EAST GUSA NATIONAL HIGH SCHOOL","NO","YES"),"")</f>
        <v/>
      </c>
      <c r="T54" s="96" t="str">
        <f>tbl_learners_info[[#This Row],[Full Name (Spelled Out)]]</f>
        <v/>
      </c>
      <c r="U54" s="71"/>
      <c r="V54" s="71"/>
      <c r="W54" s="71"/>
      <c r="X54" s="71"/>
      <c r="Y54" s="71"/>
      <c r="Z54" s="71"/>
      <c r="AA54" s="71"/>
      <c r="AB54" s="71"/>
      <c r="AC54" s="71"/>
      <c r="AD54" s="71"/>
      <c r="AE54" s="71"/>
      <c r="AF54" s="71"/>
      <c r="AG54" s="71"/>
      <c r="AH54" s="71"/>
      <c r="AI54" s="71"/>
      <c r="AJ54" s="71"/>
      <c r="AK54" s="71"/>
      <c r="AL54" s="71"/>
      <c r="AM54" s="71"/>
      <c r="AN54" s="71"/>
      <c r="AO54" s="96" t="str">
        <f>tbl_learners_info[[#This Row],[Last Name, First Name, Middle Initial ]]</f>
        <v/>
      </c>
      <c r="AP54" s="71"/>
      <c r="AQ54" s="71"/>
      <c r="AR54" s="71"/>
      <c r="AS54" s="71"/>
      <c r="AT54" s="71"/>
      <c r="AU54" s="71"/>
      <c r="AV54" s="71"/>
      <c r="AW54" s="71"/>
      <c r="AX54" s="71"/>
      <c r="AY54" s="71"/>
      <c r="AZ54" s="71"/>
      <c r="BA54" s="71"/>
      <c r="BB54" s="71"/>
      <c r="BC54" s="71"/>
      <c r="BD54" s="71"/>
      <c r="BE54" s="71"/>
      <c r="BF54" s="71"/>
      <c r="BG54" s="71"/>
      <c r="BH54" s="71"/>
      <c r="BI54" s="71"/>
      <c r="BJ54" s="96" t="str">
        <f>tbl_learners_info[[#This Row],[Last Name, First Name, Middle Initial ]]</f>
        <v/>
      </c>
      <c r="BK54" s="71"/>
      <c r="BL54" s="71"/>
      <c r="BM54" s="71"/>
      <c r="BN54" s="71"/>
      <c r="BO54" s="71"/>
      <c r="BP54" s="71"/>
      <c r="BQ54" s="71"/>
      <c r="BR54" s="71"/>
      <c r="BS54" s="71"/>
      <c r="BT54" s="71"/>
      <c r="BU54" s="71"/>
    </row>
    <row r="55" spans="3:73" ht="19.95" customHeight="1" x14ac:dyDescent="0.3">
      <c r="C55" s="80"/>
      <c r="D55" s="80"/>
      <c r="E55" s="80"/>
      <c r="F55" s="80"/>
      <c r="G55" s="80"/>
      <c r="H55" s="80"/>
      <c r="I55" s="6"/>
      <c r="J55" s="80"/>
      <c r="K55" s="80"/>
      <c r="L55" s="81"/>
      <c r="M55" s="82"/>
      <c r="N55" s="3"/>
      <c r="O55" s="83"/>
      <c r="P5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5" s="94" t="str">
        <f ca="1">IF(tbl_learners_info[[#This Row],[Date of Birth]]&lt;&gt;0,DATEDIF(tbl_learners_info[[#This Row],[Date of Birth]], TODAY(), "Y"),"")</f>
        <v/>
      </c>
      <c r="S55" s="95" t="str">
        <f>IF(tbl_learners_info[[#This Row],[Name of Previous School]]&lt;&gt;"",IF(tbl_learners_info[[#This Row],[Name of Previous School]]="EAST GUSA NATIONAL HIGH SCHOOL","NO","YES"),"")</f>
        <v/>
      </c>
      <c r="T55" s="96" t="str">
        <f>tbl_learners_info[[#This Row],[Full Name (Spelled Out)]]</f>
        <v/>
      </c>
      <c r="U55" s="71"/>
      <c r="V55" s="71"/>
      <c r="W55" s="71"/>
      <c r="X55" s="71"/>
      <c r="Y55" s="71"/>
      <c r="Z55" s="71"/>
      <c r="AA55" s="71"/>
      <c r="AB55" s="71"/>
      <c r="AC55" s="71"/>
      <c r="AD55" s="71"/>
      <c r="AE55" s="71"/>
      <c r="AF55" s="71"/>
      <c r="AG55" s="71"/>
      <c r="AH55" s="71"/>
      <c r="AI55" s="71"/>
      <c r="AJ55" s="71"/>
      <c r="AK55" s="71"/>
      <c r="AL55" s="71"/>
      <c r="AM55" s="71"/>
      <c r="AN55" s="71"/>
      <c r="AO55" s="96" t="str">
        <f>tbl_learners_info[[#This Row],[Last Name, First Name, Middle Initial ]]</f>
        <v/>
      </c>
      <c r="AP55" s="71"/>
      <c r="AQ55" s="71"/>
      <c r="AR55" s="71"/>
      <c r="AS55" s="71"/>
      <c r="AT55" s="71"/>
      <c r="AU55" s="71"/>
      <c r="AV55" s="71"/>
      <c r="AW55" s="71"/>
      <c r="AX55" s="71"/>
      <c r="AY55" s="71"/>
      <c r="AZ55" s="71"/>
      <c r="BA55" s="71"/>
      <c r="BB55" s="71"/>
      <c r="BC55" s="71"/>
      <c r="BD55" s="71"/>
      <c r="BE55" s="71"/>
      <c r="BF55" s="71"/>
      <c r="BG55" s="71"/>
      <c r="BH55" s="71"/>
      <c r="BI55" s="71"/>
      <c r="BJ55" s="96" t="str">
        <f>tbl_learners_info[[#This Row],[Last Name, First Name, Middle Initial ]]</f>
        <v/>
      </c>
      <c r="BK55" s="71"/>
      <c r="BL55" s="71"/>
      <c r="BM55" s="71"/>
      <c r="BN55" s="71"/>
      <c r="BO55" s="71"/>
      <c r="BP55" s="71"/>
      <c r="BQ55" s="71"/>
      <c r="BR55" s="71"/>
      <c r="BS55" s="71"/>
      <c r="BT55" s="71"/>
      <c r="BU55" s="71"/>
    </row>
    <row r="56" spans="3:73" ht="19.95" customHeight="1" x14ac:dyDescent="0.3">
      <c r="C56" s="80"/>
      <c r="D56" s="80"/>
      <c r="E56" s="80"/>
      <c r="F56" s="80"/>
      <c r="G56" s="80"/>
      <c r="H56" s="80"/>
      <c r="I56" s="6"/>
      <c r="J56" s="80"/>
      <c r="K56" s="80"/>
      <c r="L56" s="81"/>
      <c r="M56" s="82"/>
      <c r="N56" s="3"/>
      <c r="O56" s="83"/>
      <c r="P5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6" s="94" t="str">
        <f ca="1">IF(tbl_learners_info[[#This Row],[Date of Birth]]&lt;&gt;0,DATEDIF(tbl_learners_info[[#This Row],[Date of Birth]], TODAY(), "Y"),"")</f>
        <v/>
      </c>
      <c r="S56" s="95" t="str">
        <f>IF(tbl_learners_info[[#This Row],[Name of Previous School]]&lt;&gt;"",IF(tbl_learners_info[[#This Row],[Name of Previous School]]="EAST GUSA NATIONAL HIGH SCHOOL","NO","YES"),"")</f>
        <v/>
      </c>
      <c r="T56" s="96" t="str">
        <f>tbl_learners_info[[#This Row],[Full Name (Spelled Out)]]</f>
        <v/>
      </c>
      <c r="U56" s="71"/>
      <c r="V56" s="71"/>
      <c r="W56" s="71"/>
      <c r="X56" s="71"/>
      <c r="Y56" s="71"/>
      <c r="Z56" s="71"/>
      <c r="AA56" s="71"/>
      <c r="AB56" s="71"/>
      <c r="AC56" s="71"/>
      <c r="AD56" s="71"/>
      <c r="AE56" s="71"/>
      <c r="AF56" s="71"/>
      <c r="AG56" s="71"/>
      <c r="AH56" s="71"/>
      <c r="AI56" s="71"/>
      <c r="AJ56" s="71"/>
      <c r="AK56" s="71"/>
      <c r="AL56" s="71"/>
      <c r="AM56" s="71"/>
      <c r="AN56" s="71"/>
      <c r="AO56" s="96" t="str">
        <f>tbl_learners_info[[#This Row],[Last Name, First Name, Middle Initial ]]</f>
        <v/>
      </c>
      <c r="AP56" s="71"/>
      <c r="AQ56" s="71"/>
      <c r="AR56" s="71"/>
      <c r="AS56" s="71"/>
      <c r="AT56" s="71"/>
      <c r="AU56" s="71"/>
      <c r="AV56" s="71"/>
      <c r="AW56" s="71"/>
      <c r="AX56" s="71"/>
      <c r="AY56" s="71"/>
      <c r="AZ56" s="71"/>
      <c r="BA56" s="71"/>
      <c r="BB56" s="71"/>
      <c r="BC56" s="71"/>
      <c r="BD56" s="71"/>
      <c r="BE56" s="71"/>
      <c r="BF56" s="71"/>
      <c r="BG56" s="71"/>
      <c r="BH56" s="71"/>
      <c r="BI56" s="71"/>
      <c r="BJ56" s="96" t="str">
        <f>tbl_learners_info[[#This Row],[Last Name, First Name, Middle Initial ]]</f>
        <v/>
      </c>
      <c r="BK56" s="71"/>
      <c r="BL56" s="71"/>
      <c r="BM56" s="71"/>
      <c r="BN56" s="71"/>
      <c r="BO56" s="71"/>
      <c r="BP56" s="71"/>
      <c r="BQ56" s="71"/>
      <c r="BR56" s="71"/>
      <c r="BS56" s="71"/>
      <c r="BT56" s="71"/>
      <c r="BU56" s="71"/>
    </row>
    <row r="57" spans="3:73" ht="19.95" customHeight="1" x14ac:dyDescent="0.3">
      <c r="C57" s="80"/>
      <c r="D57" s="80"/>
      <c r="E57" s="80"/>
      <c r="F57" s="80"/>
      <c r="G57" s="80"/>
      <c r="H57" s="80"/>
      <c r="I57" s="6"/>
      <c r="J57" s="80"/>
      <c r="K57" s="80"/>
      <c r="L57" s="81"/>
      <c r="M57" s="82"/>
      <c r="N57" s="3"/>
      <c r="O57" s="83"/>
      <c r="P5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7" s="94" t="str">
        <f ca="1">IF(tbl_learners_info[[#This Row],[Date of Birth]]&lt;&gt;0,DATEDIF(tbl_learners_info[[#This Row],[Date of Birth]], TODAY(), "Y"),"")</f>
        <v/>
      </c>
      <c r="S57" s="95" t="str">
        <f>IF(tbl_learners_info[[#This Row],[Name of Previous School]]&lt;&gt;"",IF(tbl_learners_info[[#This Row],[Name of Previous School]]="EAST GUSA NATIONAL HIGH SCHOOL","NO","YES"),"")</f>
        <v/>
      </c>
      <c r="T57" s="96" t="str">
        <f>tbl_learners_info[[#This Row],[Full Name (Spelled Out)]]</f>
        <v/>
      </c>
      <c r="U57" s="71"/>
      <c r="V57" s="71"/>
      <c r="W57" s="71"/>
      <c r="X57" s="71"/>
      <c r="Y57" s="71"/>
      <c r="Z57" s="71"/>
      <c r="AA57" s="71"/>
      <c r="AB57" s="71"/>
      <c r="AC57" s="71"/>
      <c r="AD57" s="71"/>
      <c r="AE57" s="71"/>
      <c r="AF57" s="71"/>
      <c r="AG57" s="71"/>
      <c r="AH57" s="71"/>
      <c r="AI57" s="71"/>
      <c r="AJ57" s="71"/>
      <c r="AK57" s="71"/>
      <c r="AL57" s="71"/>
      <c r="AM57" s="71"/>
      <c r="AN57" s="71"/>
      <c r="AO57" s="96" t="str">
        <f>tbl_learners_info[[#This Row],[Last Name, First Name, Middle Initial ]]</f>
        <v/>
      </c>
      <c r="AP57" s="71"/>
      <c r="AQ57" s="71"/>
      <c r="AR57" s="71"/>
      <c r="AS57" s="71"/>
      <c r="AT57" s="71"/>
      <c r="AU57" s="71"/>
      <c r="AV57" s="71"/>
      <c r="AW57" s="71"/>
      <c r="AX57" s="71"/>
      <c r="AY57" s="71"/>
      <c r="AZ57" s="71"/>
      <c r="BA57" s="71"/>
      <c r="BB57" s="71"/>
      <c r="BC57" s="71"/>
      <c r="BD57" s="71"/>
      <c r="BE57" s="71"/>
      <c r="BF57" s="71"/>
      <c r="BG57" s="71"/>
      <c r="BH57" s="71"/>
      <c r="BI57" s="71"/>
      <c r="BJ57" s="96" t="str">
        <f>tbl_learners_info[[#This Row],[Last Name, First Name, Middle Initial ]]</f>
        <v/>
      </c>
      <c r="BK57" s="71"/>
      <c r="BL57" s="71"/>
      <c r="BM57" s="71"/>
      <c r="BN57" s="71"/>
      <c r="BO57" s="71"/>
      <c r="BP57" s="71"/>
      <c r="BQ57" s="71"/>
      <c r="BR57" s="71"/>
      <c r="BS57" s="71"/>
      <c r="BT57" s="71"/>
      <c r="BU57" s="71"/>
    </row>
    <row r="58" spans="3:73" ht="19.95" customHeight="1" x14ac:dyDescent="0.3">
      <c r="C58" s="80"/>
      <c r="D58" s="80"/>
      <c r="E58" s="80"/>
      <c r="F58" s="80"/>
      <c r="G58" s="80"/>
      <c r="H58" s="80"/>
      <c r="I58" s="6"/>
      <c r="J58" s="80"/>
      <c r="K58" s="80"/>
      <c r="L58" s="81"/>
      <c r="M58" s="82"/>
      <c r="N58" s="3"/>
      <c r="O58" s="83"/>
      <c r="P5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8" s="94" t="str">
        <f ca="1">IF(tbl_learners_info[[#This Row],[Date of Birth]]&lt;&gt;0,DATEDIF(tbl_learners_info[[#This Row],[Date of Birth]], TODAY(), "Y"),"")</f>
        <v/>
      </c>
      <c r="S58" s="95" t="str">
        <f>IF(tbl_learners_info[[#This Row],[Name of Previous School]]&lt;&gt;"",IF(tbl_learners_info[[#This Row],[Name of Previous School]]="EAST GUSA NATIONAL HIGH SCHOOL","NO","YES"),"")</f>
        <v/>
      </c>
      <c r="T58" s="96" t="str">
        <f>tbl_learners_info[[#This Row],[Full Name (Spelled Out)]]</f>
        <v/>
      </c>
      <c r="U58" s="71"/>
      <c r="V58" s="71"/>
      <c r="W58" s="71"/>
      <c r="X58" s="71"/>
      <c r="Y58" s="71"/>
      <c r="Z58" s="71"/>
      <c r="AA58" s="71"/>
      <c r="AB58" s="71"/>
      <c r="AC58" s="71"/>
      <c r="AD58" s="71"/>
      <c r="AE58" s="71"/>
      <c r="AF58" s="71"/>
      <c r="AG58" s="71"/>
      <c r="AH58" s="71"/>
      <c r="AI58" s="71"/>
      <c r="AJ58" s="71"/>
      <c r="AK58" s="71"/>
      <c r="AL58" s="71"/>
      <c r="AM58" s="71"/>
      <c r="AN58" s="71"/>
      <c r="AO58" s="96" t="str">
        <f>tbl_learners_info[[#This Row],[Last Name, First Name, Middle Initial ]]</f>
        <v/>
      </c>
      <c r="AP58" s="71"/>
      <c r="AQ58" s="71"/>
      <c r="AR58" s="71"/>
      <c r="AS58" s="71"/>
      <c r="AT58" s="71"/>
      <c r="AU58" s="71"/>
      <c r="AV58" s="71"/>
      <c r="AW58" s="71"/>
      <c r="AX58" s="71"/>
      <c r="AY58" s="71"/>
      <c r="AZ58" s="71"/>
      <c r="BA58" s="71"/>
      <c r="BB58" s="71"/>
      <c r="BC58" s="71"/>
      <c r="BD58" s="71"/>
      <c r="BE58" s="71"/>
      <c r="BF58" s="71"/>
      <c r="BG58" s="71"/>
      <c r="BH58" s="71"/>
      <c r="BI58" s="71"/>
      <c r="BJ58" s="96" t="str">
        <f>tbl_learners_info[[#This Row],[Last Name, First Name, Middle Initial ]]</f>
        <v/>
      </c>
      <c r="BK58" s="71"/>
      <c r="BL58" s="71"/>
      <c r="BM58" s="71"/>
      <c r="BN58" s="71"/>
      <c r="BO58" s="71"/>
      <c r="BP58" s="71"/>
      <c r="BQ58" s="71"/>
      <c r="BR58" s="71"/>
      <c r="BS58" s="71"/>
      <c r="BT58" s="71"/>
      <c r="BU58" s="71"/>
    </row>
    <row r="59" spans="3:73" ht="19.95" customHeight="1" x14ac:dyDescent="0.3">
      <c r="C59" s="80"/>
      <c r="D59" s="80"/>
      <c r="E59" s="80"/>
      <c r="F59" s="80"/>
      <c r="G59" s="80"/>
      <c r="H59" s="80"/>
      <c r="I59" s="6"/>
      <c r="J59" s="80"/>
      <c r="K59" s="80"/>
      <c r="L59" s="81"/>
      <c r="M59" s="82"/>
      <c r="N59" s="3"/>
      <c r="O59" s="83"/>
      <c r="P5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9" s="94" t="str">
        <f ca="1">IF(tbl_learners_info[[#This Row],[Date of Birth]]&lt;&gt;0,DATEDIF(tbl_learners_info[[#This Row],[Date of Birth]], TODAY(), "Y"),"")</f>
        <v/>
      </c>
      <c r="S59" s="95" t="str">
        <f>IF(tbl_learners_info[[#This Row],[Name of Previous School]]&lt;&gt;"",IF(tbl_learners_info[[#This Row],[Name of Previous School]]="EAST GUSA NATIONAL HIGH SCHOOL","NO","YES"),"")</f>
        <v/>
      </c>
      <c r="T59" s="96" t="str">
        <f>tbl_learners_info[[#This Row],[Full Name (Spelled Out)]]</f>
        <v/>
      </c>
      <c r="U59" s="71"/>
      <c r="V59" s="71"/>
      <c r="W59" s="71"/>
      <c r="X59" s="71"/>
      <c r="Y59" s="71"/>
      <c r="Z59" s="71"/>
      <c r="AA59" s="71"/>
      <c r="AB59" s="71"/>
      <c r="AC59" s="71"/>
      <c r="AD59" s="71"/>
      <c r="AE59" s="71"/>
      <c r="AF59" s="71"/>
      <c r="AG59" s="71"/>
      <c r="AH59" s="71"/>
      <c r="AI59" s="71"/>
      <c r="AJ59" s="71"/>
      <c r="AK59" s="71"/>
      <c r="AL59" s="71"/>
      <c r="AM59" s="71"/>
      <c r="AN59" s="71"/>
      <c r="AO59" s="96" t="str">
        <f>tbl_learners_info[[#This Row],[Last Name, First Name, Middle Initial ]]</f>
        <v/>
      </c>
      <c r="AP59" s="71"/>
      <c r="AQ59" s="71"/>
      <c r="AR59" s="71"/>
      <c r="AS59" s="71"/>
      <c r="AT59" s="71"/>
      <c r="AU59" s="71"/>
      <c r="AV59" s="71"/>
      <c r="AW59" s="71"/>
      <c r="AX59" s="71"/>
      <c r="AY59" s="71"/>
      <c r="AZ59" s="71"/>
      <c r="BA59" s="71"/>
      <c r="BB59" s="71"/>
      <c r="BC59" s="71"/>
      <c r="BD59" s="71"/>
      <c r="BE59" s="71"/>
      <c r="BF59" s="71"/>
      <c r="BG59" s="71"/>
      <c r="BH59" s="71"/>
      <c r="BI59" s="71"/>
      <c r="BJ59" s="96" t="str">
        <f>tbl_learners_info[[#This Row],[Last Name, First Name, Middle Initial ]]</f>
        <v/>
      </c>
      <c r="BK59" s="71"/>
      <c r="BL59" s="71"/>
      <c r="BM59" s="71"/>
      <c r="BN59" s="71"/>
      <c r="BO59" s="71"/>
      <c r="BP59" s="71"/>
      <c r="BQ59" s="71"/>
      <c r="BR59" s="71"/>
      <c r="BS59" s="71"/>
      <c r="BT59" s="71"/>
      <c r="BU59" s="71"/>
    </row>
    <row r="60" spans="3:73" ht="19.95" customHeight="1" x14ac:dyDescent="0.3">
      <c r="C60" s="80"/>
      <c r="D60" s="80"/>
      <c r="E60" s="80"/>
      <c r="F60" s="80"/>
      <c r="G60" s="80"/>
      <c r="H60" s="80"/>
      <c r="I60" s="6"/>
      <c r="J60" s="80"/>
      <c r="K60" s="80"/>
      <c r="L60" s="81"/>
      <c r="M60" s="82"/>
      <c r="N60" s="3"/>
      <c r="O60" s="83"/>
      <c r="P6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0" s="94" t="str">
        <f ca="1">IF(tbl_learners_info[[#This Row],[Date of Birth]]&lt;&gt;0,DATEDIF(tbl_learners_info[[#This Row],[Date of Birth]], TODAY(), "Y"),"")</f>
        <v/>
      </c>
      <c r="S60" s="95" t="str">
        <f>IF(tbl_learners_info[[#This Row],[Name of Previous School]]&lt;&gt;"",IF(tbl_learners_info[[#This Row],[Name of Previous School]]="EAST GUSA NATIONAL HIGH SCHOOL","NO","YES"),"")</f>
        <v/>
      </c>
      <c r="T60" s="96" t="str">
        <f>tbl_learners_info[[#This Row],[Full Name (Spelled Out)]]</f>
        <v/>
      </c>
      <c r="U60" s="71"/>
      <c r="V60" s="71"/>
      <c r="W60" s="71"/>
      <c r="X60" s="71"/>
      <c r="Y60" s="71"/>
      <c r="Z60" s="71"/>
      <c r="AA60" s="71"/>
      <c r="AB60" s="71"/>
      <c r="AC60" s="71"/>
      <c r="AD60" s="71"/>
      <c r="AE60" s="71"/>
      <c r="AF60" s="71"/>
      <c r="AG60" s="71"/>
      <c r="AH60" s="71"/>
      <c r="AI60" s="71"/>
      <c r="AJ60" s="71"/>
      <c r="AK60" s="71"/>
      <c r="AL60" s="71"/>
      <c r="AM60" s="71"/>
      <c r="AN60" s="71"/>
      <c r="AO60" s="96" t="str">
        <f>tbl_learners_info[[#This Row],[Last Name, First Name, Middle Initial ]]</f>
        <v/>
      </c>
      <c r="AP60" s="71"/>
      <c r="AQ60" s="71"/>
      <c r="AR60" s="71"/>
      <c r="AS60" s="71"/>
      <c r="AT60" s="71"/>
      <c r="AU60" s="71"/>
      <c r="AV60" s="71"/>
      <c r="AW60" s="71"/>
      <c r="AX60" s="71"/>
      <c r="AY60" s="71"/>
      <c r="AZ60" s="71"/>
      <c r="BA60" s="71"/>
      <c r="BB60" s="71"/>
      <c r="BC60" s="71"/>
      <c r="BD60" s="71"/>
      <c r="BE60" s="71"/>
      <c r="BF60" s="71"/>
      <c r="BG60" s="71"/>
      <c r="BH60" s="71"/>
      <c r="BI60" s="71"/>
      <c r="BJ60" s="96" t="str">
        <f>tbl_learners_info[[#This Row],[Last Name, First Name, Middle Initial ]]</f>
        <v/>
      </c>
      <c r="BK60" s="71"/>
      <c r="BL60" s="71"/>
      <c r="BM60" s="71"/>
      <c r="BN60" s="71"/>
      <c r="BO60" s="71"/>
      <c r="BP60" s="71"/>
      <c r="BQ60" s="71"/>
      <c r="BR60" s="71"/>
      <c r="BS60" s="71"/>
      <c r="BT60" s="71"/>
      <c r="BU60" s="71"/>
    </row>
    <row r="61" spans="3:73" ht="19.95" customHeight="1" x14ac:dyDescent="0.3">
      <c r="C61" s="80"/>
      <c r="D61" s="80"/>
      <c r="E61" s="80"/>
      <c r="F61" s="80"/>
      <c r="G61" s="80"/>
      <c r="H61" s="80"/>
      <c r="I61" s="6"/>
      <c r="J61" s="80"/>
      <c r="K61" s="80"/>
      <c r="L61" s="81"/>
      <c r="M61" s="82"/>
      <c r="N61" s="3"/>
      <c r="O61" s="83"/>
      <c r="P6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1" s="94" t="str">
        <f ca="1">IF(tbl_learners_info[[#This Row],[Date of Birth]]&lt;&gt;0,DATEDIF(tbl_learners_info[[#This Row],[Date of Birth]], TODAY(), "Y"),"")</f>
        <v/>
      </c>
      <c r="S61" s="95" t="str">
        <f>IF(tbl_learners_info[[#This Row],[Name of Previous School]]&lt;&gt;"",IF(tbl_learners_info[[#This Row],[Name of Previous School]]="EAST GUSA NATIONAL HIGH SCHOOL","NO","YES"),"")</f>
        <v/>
      </c>
      <c r="T61" s="96" t="str">
        <f>tbl_learners_info[[#This Row],[Full Name (Spelled Out)]]</f>
        <v/>
      </c>
      <c r="U61" s="71"/>
      <c r="V61" s="71"/>
      <c r="W61" s="71"/>
      <c r="X61" s="71"/>
      <c r="Y61" s="71"/>
      <c r="Z61" s="71"/>
      <c r="AA61" s="71"/>
      <c r="AB61" s="71"/>
      <c r="AC61" s="71"/>
      <c r="AD61" s="71"/>
      <c r="AE61" s="71"/>
      <c r="AF61" s="71"/>
      <c r="AG61" s="71"/>
      <c r="AH61" s="71"/>
      <c r="AI61" s="71"/>
      <c r="AJ61" s="71"/>
      <c r="AK61" s="71"/>
      <c r="AL61" s="71"/>
      <c r="AM61" s="71"/>
      <c r="AN61" s="71"/>
      <c r="AO61" s="96" t="str">
        <f>tbl_learners_info[[#This Row],[Last Name, First Name, Middle Initial ]]</f>
        <v/>
      </c>
      <c r="AP61" s="71"/>
      <c r="AQ61" s="71"/>
      <c r="AR61" s="71"/>
      <c r="AS61" s="71"/>
      <c r="AT61" s="71"/>
      <c r="AU61" s="71"/>
      <c r="AV61" s="71"/>
      <c r="AW61" s="71"/>
      <c r="AX61" s="71"/>
      <c r="AY61" s="71"/>
      <c r="AZ61" s="71"/>
      <c r="BA61" s="71"/>
      <c r="BB61" s="71"/>
      <c r="BC61" s="71"/>
      <c r="BD61" s="71"/>
      <c r="BE61" s="71"/>
      <c r="BF61" s="71"/>
      <c r="BG61" s="71"/>
      <c r="BH61" s="71"/>
      <c r="BI61" s="71"/>
      <c r="BJ61" s="96" t="str">
        <f>tbl_learners_info[[#This Row],[Last Name, First Name, Middle Initial ]]</f>
        <v/>
      </c>
      <c r="BK61" s="71"/>
      <c r="BL61" s="71"/>
      <c r="BM61" s="71"/>
      <c r="BN61" s="71"/>
      <c r="BO61" s="71"/>
      <c r="BP61" s="71"/>
      <c r="BQ61" s="71"/>
      <c r="BR61" s="71"/>
      <c r="BS61" s="71"/>
      <c r="BT61" s="71"/>
      <c r="BU61" s="71"/>
    </row>
    <row r="62" spans="3:73" ht="19.95" customHeight="1" x14ac:dyDescent="0.3">
      <c r="C62" s="80"/>
      <c r="D62" s="80"/>
      <c r="E62" s="80"/>
      <c r="F62" s="80"/>
      <c r="G62" s="80"/>
      <c r="H62" s="80"/>
      <c r="I62" s="6"/>
      <c r="J62" s="80"/>
      <c r="K62" s="80"/>
      <c r="L62" s="81"/>
      <c r="M62" s="82"/>
      <c r="N62" s="3"/>
      <c r="O62" s="83"/>
      <c r="P6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2" s="94" t="str">
        <f ca="1">IF(tbl_learners_info[[#This Row],[Date of Birth]]&lt;&gt;0,DATEDIF(tbl_learners_info[[#This Row],[Date of Birth]], TODAY(), "Y"),"")</f>
        <v/>
      </c>
      <c r="S62" s="95" t="str">
        <f>IF(tbl_learners_info[[#This Row],[Name of Previous School]]&lt;&gt;"",IF(tbl_learners_info[[#This Row],[Name of Previous School]]="EAST GUSA NATIONAL HIGH SCHOOL","NO","YES"),"")</f>
        <v/>
      </c>
      <c r="T62" s="96" t="str">
        <f>tbl_learners_info[[#This Row],[Full Name (Spelled Out)]]</f>
        <v/>
      </c>
      <c r="U62" s="71"/>
      <c r="V62" s="71"/>
      <c r="W62" s="71"/>
      <c r="X62" s="71"/>
      <c r="Y62" s="71"/>
      <c r="Z62" s="71"/>
      <c r="AA62" s="71"/>
      <c r="AB62" s="71"/>
      <c r="AC62" s="71"/>
      <c r="AD62" s="71"/>
      <c r="AE62" s="71"/>
      <c r="AF62" s="71"/>
      <c r="AG62" s="71"/>
      <c r="AH62" s="71"/>
      <c r="AI62" s="71"/>
      <c r="AJ62" s="71"/>
      <c r="AK62" s="71"/>
      <c r="AL62" s="71"/>
      <c r="AM62" s="71"/>
      <c r="AN62" s="71"/>
      <c r="AO62" s="96" t="str">
        <f>tbl_learners_info[[#This Row],[Last Name, First Name, Middle Initial ]]</f>
        <v/>
      </c>
      <c r="AP62" s="71"/>
      <c r="AQ62" s="71"/>
      <c r="AR62" s="71"/>
      <c r="AS62" s="71"/>
      <c r="AT62" s="71"/>
      <c r="AU62" s="71"/>
      <c r="AV62" s="71"/>
      <c r="AW62" s="71"/>
      <c r="AX62" s="71"/>
      <c r="AY62" s="71"/>
      <c r="AZ62" s="71"/>
      <c r="BA62" s="71"/>
      <c r="BB62" s="71"/>
      <c r="BC62" s="71"/>
      <c r="BD62" s="71"/>
      <c r="BE62" s="71"/>
      <c r="BF62" s="71"/>
      <c r="BG62" s="71"/>
      <c r="BH62" s="71"/>
      <c r="BI62" s="71"/>
      <c r="BJ62" s="96" t="str">
        <f>tbl_learners_info[[#This Row],[Last Name, First Name, Middle Initial ]]</f>
        <v/>
      </c>
      <c r="BK62" s="71"/>
      <c r="BL62" s="71"/>
      <c r="BM62" s="71"/>
      <c r="BN62" s="71"/>
      <c r="BO62" s="71"/>
      <c r="BP62" s="71"/>
      <c r="BQ62" s="71"/>
      <c r="BR62" s="71"/>
      <c r="BS62" s="71"/>
      <c r="BT62" s="71"/>
      <c r="BU62" s="71"/>
    </row>
    <row r="63" spans="3:73" ht="19.95" customHeight="1" x14ac:dyDescent="0.3">
      <c r="C63" s="80"/>
      <c r="D63" s="80"/>
      <c r="E63" s="80"/>
      <c r="F63" s="80"/>
      <c r="G63" s="80"/>
      <c r="H63" s="80"/>
      <c r="I63" s="6"/>
      <c r="J63" s="80"/>
      <c r="K63" s="80"/>
      <c r="L63" s="81"/>
      <c r="M63" s="82"/>
      <c r="N63" s="3"/>
      <c r="O63" s="83"/>
      <c r="P6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3" s="94" t="str">
        <f ca="1">IF(tbl_learners_info[[#This Row],[Date of Birth]]&lt;&gt;0,DATEDIF(tbl_learners_info[[#This Row],[Date of Birth]], TODAY(), "Y"),"")</f>
        <v/>
      </c>
      <c r="S63" s="95" t="str">
        <f>IF(tbl_learners_info[[#This Row],[Name of Previous School]]&lt;&gt;"",IF(tbl_learners_info[[#This Row],[Name of Previous School]]="EAST GUSA NATIONAL HIGH SCHOOL","NO","YES"),"")</f>
        <v/>
      </c>
      <c r="T63" s="96" t="str">
        <f>tbl_learners_info[[#This Row],[Full Name (Spelled Out)]]</f>
        <v/>
      </c>
      <c r="U63" s="71"/>
      <c r="V63" s="71"/>
      <c r="W63" s="71"/>
      <c r="X63" s="71"/>
      <c r="Y63" s="71"/>
      <c r="Z63" s="71"/>
      <c r="AA63" s="71"/>
      <c r="AB63" s="71"/>
      <c r="AC63" s="71"/>
      <c r="AD63" s="71"/>
      <c r="AE63" s="71"/>
      <c r="AF63" s="71"/>
      <c r="AG63" s="71"/>
      <c r="AH63" s="71"/>
      <c r="AI63" s="71"/>
      <c r="AJ63" s="71"/>
      <c r="AK63" s="71"/>
      <c r="AL63" s="71"/>
      <c r="AM63" s="71"/>
      <c r="AN63" s="71"/>
      <c r="AO63" s="96" t="str">
        <f>tbl_learners_info[[#This Row],[Last Name, First Name, Middle Initial ]]</f>
        <v/>
      </c>
      <c r="AP63" s="71"/>
      <c r="AQ63" s="71"/>
      <c r="AR63" s="71"/>
      <c r="AS63" s="71"/>
      <c r="AT63" s="71"/>
      <c r="AU63" s="71"/>
      <c r="AV63" s="71"/>
      <c r="AW63" s="71"/>
      <c r="AX63" s="71"/>
      <c r="AY63" s="71"/>
      <c r="AZ63" s="71"/>
      <c r="BA63" s="71"/>
      <c r="BB63" s="71"/>
      <c r="BC63" s="71"/>
      <c r="BD63" s="71"/>
      <c r="BE63" s="71"/>
      <c r="BF63" s="71"/>
      <c r="BG63" s="71"/>
      <c r="BH63" s="71"/>
      <c r="BI63" s="71"/>
      <c r="BJ63" s="96" t="str">
        <f>tbl_learners_info[[#This Row],[Last Name, First Name, Middle Initial ]]</f>
        <v/>
      </c>
      <c r="BK63" s="71"/>
      <c r="BL63" s="71"/>
      <c r="BM63" s="71"/>
      <c r="BN63" s="71"/>
      <c r="BO63" s="71"/>
      <c r="BP63" s="71"/>
      <c r="BQ63" s="71"/>
      <c r="BR63" s="71"/>
      <c r="BS63" s="71"/>
      <c r="BT63" s="71"/>
      <c r="BU63" s="71"/>
    </row>
    <row r="64" spans="3:73" ht="19.95" customHeight="1" x14ac:dyDescent="0.3">
      <c r="C64" s="80"/>
      <c r="D64" s="80"/>
      <c r="E64" s="80"/>
      <c r="F64" s="80"/>
      <c r="G64" s="80"/>
      <c r="H64" s="80"/>
      <c r="I64" s="6"/>
      <c r="J64" s="80"/>
      <c r="K64" s="80"/>
      <c r="L64" s="81"/>
      <c r="M64" s="82"/>
      <c r="N64" s="3"/>
      <c r="O64" s="83"/>
      <c r="P6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4" s="94" t="str">
        <f ca="1">IF(tbl_learners_info[[#This Row],[Date of Birth]]&lt;&gt;0,DATEDIF(tbl_learners_info[[#This Row],[Date of Birth]], TODAY(), "Y"),"")</f>
        <v/>
      </c>
      <c r="S64" s="95" t="str">
        <f>IF(tbl_learners_info[[#This Row],[Name of Previous School]]&lt;&gt;"",IF(tbl_learners_info[[#This Row],[Name of Previous School]]="EAST GUSA NATIONAL HIGH SCHOOL","NO","YES"),"")</f>
        <v/>
      </c>
      <c r="T64" s="96" t="str">
        <f>tbl_learners_info[[#This Row],[Full Name (Spelled Out)]]</f>
        <v/>
      </c>
      <c r="U64" s="71"/>
      <c r="V64" s="71"/>
      <c r="W64" s="71"/>
      <c r="X64" s="71"/>
      <c r="Y64" s="71"/>
      <c r="Z64" s="71"/>
      <c r="AA64" s="71"/>
      <c r="AB64" s="71"/>
      <c r="AC64" s="71"/>
      <c r="AD64" s="71"/>
      <c r="AE64" s="71"/>
      <c r="AF64" s="71"/>
      <c r="AG64" s="71"/>
      <c r="AH64" s="71"/>
      <c r="AI64" s="71"/>
      <c r="AJ64" s="71"/>
      <c r="AK64" s="71"/>
      <c r="AL64" s="71"/>
      <c r="AM64" s="71"/>
      <c r="AN64" s="71"/>
      <c r="AO64" s="96" t="str">
        <f>tbl_learners_info[[#This Row],[Last Name, First Name, Middle Initial ]]</f>
        <v/>
      </c>
      <c r="AP64" s="71"/>
      <c r="AQ64" s="71"/>
      <c r="AR64" s="71"/>
      <c r="AS64" s="71"/>
      <c r="AT64" s="71"/>
      <c r="AU64" s="71"/>
      <c r="AV64" s="71"/>
      <c r="AW64" s="71"/>
      <c r="AX64" s="71"/>
      <c r="AY64" s="71"/>
      <c r="AZ64" s="71"/>
      <c r="BA64" s="71"/>
      <c r="BB64" s="71"/>
      <c r="BC64" s="71"/>
      <c r="BD64" s="71"/>
      <c r="BE64" s="71"/>
      <c r="BF64" s="71"/>
      <c r="BG64" s="71"/>
      <c r="BH64" s="71"/>
      <c r="BI64" s="71"/>
      <c r="BJ64" s="96" t="str">
        <f>tbl_learners_info[[#This Row],[Last Name, First Name, Middle Initial ]]</f>
        <v/>
      </c>
      <c r="BK64" s="71"/>
      <c r="BL64" s="71"/>
      <c r="BM64" s="71"/>
      <c r="BN64" s="71"/>
      <c r="BO64" s="71"/>
      <c r="BP64" s="71"/>
      <c r="BQ64" s="71"/>
      <c r="BR64" s="71"/>
      <c r="BS64" s="71"/>
      <c r="BT64" s="71"/>
      <c r="BU64" s="71"/>
    </row>
    <row r="65" spans="3:73" ht="19.95" customHeight="1" x14ac:dyDescent="0.3">
      <c r="C65" s="80"/>
      <c r="D65" s="80"/>
      <c r="E65" s="80"/>
      <c r="F65" s="80"/>
      <c r="G65" s="80"/>
      <c r="H65" s="80"/>
      <c r="I65" s="6"/>
      <c r="J65" s="80"/>
      <c r="K65" s="80"/>
      <c r="L65" s="81"/>
      <c r="M65" s="82"/>
      <c r="N65" s="3"/>
      <c r="O65" s="83"/>
      <c r="P6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5" s="94" t="str">
        <f ca="1">IF(tbl_learners_info[[#This Row],[Date of Birth]]&lt;&gt;0,DATEDIF(tbl_learners_info[[#This Row],[Date of Birth]], TODAY(), "Y"),"")</f>
        <v/>
      </c>
      <c r="S65" s="95" t="str">
        <f>IF(tbl_learners_info[[#This Row],[Name of Previous School]]&lt;&gt;"",IF(tbl_learners_info[[#This Row],[Name of Previous School]]="EAST GUSA NATIONAL HIGH SCHOOL","NO","YES"),"")</f>
        <v/>
      </c>
      <c r="T65" s="96" t="str">
        <f>tbl_learners_info[[#This Row],[Full Name (Spelled Out)]]</f>
        <v/>
      </c>
      <c r="U65" s="71"/>
      <c r="V65" s="71"/>
      <c r="W65" s="71"/>
      <c r="X65" s="71"/>
      <c r="Y65" s="71"/>
      <c r="Z65" s="71"/>
      <c r="AA65" s="71"/>
      <c r="AB65" s="71"/>
      <c r="AC65" s="71"/>
      <c r="AD65" s="71"/>
      <c r="AE65" s="71"/>
      <c r="AF65" s="71"/>
      <c r="AG65" s="71"/>
      <c r="AH65" s="71"/>
      <c r="AI65" s="71"/>
      <c r="AJ65" s="71"/>
      <c r="AK65" s="71"/>
      <c r="AL65" s="71"/>
      <c r="AM65" s="71"/>
      <c r="AN65" s="71"/>
      <c r="AO65" s="96" t="str">
        <f>tbl_learners_info[[#This Row],[Last Name, First Name, Middle Initial ]]</f>
        <v/>
      </c>
      <c r="AP65" s="71"/>
      <c r="AQ65" s="71"/>
      <c r="AR65" s="71"/>
      <c r="AS65" s="71"/>
      <c r="AT65" s="71"/>
      <c r="AU65" s="71"/>
      <c r="AV65" s="71"/>
      <c r="AW65" s="71"/>
      <c r="AX65" s="71"/>
      <c r="AY65" s="71"/>
      <c r="AZ65" s="71"/>
      <c r="BA65" s="71"/>
      <c r="BB65" s="71"/>
      <c r="BC65" s="71"/>
      <c r="BD65" s="71"/>
      <c r="BE65" s="71"/>
      <c r="BF65" s="71"/>
      <c r="BG65" s="71"/>
      <c r="BH65" s="71"/>
      <c r="BI65" s="71"/>
      <c r="BJ65" s="96" t="str">
        <f>tbl_learners_info[[#This Row],[Last Name, First Name, Middle Initial ]]</f>
        <v/>
      </c>
      <c r="BK65" s="71"/>
      <c r="BL65" s="71"/>
      <c r="BM65" s="71"/>
      <c r="BN65" s="71"/>
      <c r="BO65" s="71"/>
      <c r="BP65" s="71"/>
      <c r="BQ65" s="71"/>
      <c r="BR65" s="71"/>
      <c r="BS65" s="71"/>
      <c r="BT65" s="71"/>
      <c r="BU65" s="71"/>
    </row>
    <row r="66" spans="3:73" ht="19.95" customHeight="1" x14ac:dyDescent="0.3">
      <c r="C66" s="80"/>
      <c r="D66" s="80"/>
      <c r="E66" s="80"/>
      <c r="F66" s="80"/>
      <c r="G66" s="80"/>
      <c r="H66" s="80"/>
      <c r="I66" s="6"/>
      <c r="J66" s="80"/>
      <c r="K66" s="80"/>
      <c r="L66" s="81"/>
      <c r="M66" s="82"/>
      <c r="N66" s="3"/>
      <c r="O66" s="83"/>
      <c r="P6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6" s="94" t="str">
        <f ca="1">IF(tbl_learners_info[[#This Row],[Date of Birth]]&lt;&gt;0,DATEDIF(tbl_learners_info[[#This Row],[Date of Birth]], TODAY(), "Y"),"")</f>
        <v/>
      </c>
      <c r="S66" s="95" t="str">
        <f>IF(tbl_learners_info[[#This Row],[Name of Previous School]]&lt;&gt;"",IF(tbl_learners_info[[#This Row],[Name of Previous School]]="EAST GUSA NATIONAL HIGH SCHOOL","NO","YES"),"")</f>
        <v/>
      </c>
      <c r="T66" s="96" t="str">
        <f>tbl_learners_info[[#This Row],[Full Name (Spelled Out)]]</f>
        <v/>
      </c>
      <c r="U66" s="71"/>
      <c r="V66" s="71"/>
      <c r="W66" s="71"/>
      <c r="X66" s="71"/>
      <c r="Y66" s="71"/>
      <c r="Z66" s="71"/>
      <c r="AA66" s="71"/>
      <c r="AB66" s="71"/>
      <c r="AC66" s="71"/>
      <c r="AD66" s="71"/>
      <c r="AE66" s="71"/>
      <c r="AF66" s="71"/>
      <c r="AG66" s="71"/>
      <c r="AH66" s="71"/>
      <c r="AI66" s="71"/>
      <c r="AJ66" s="71"/>
      <c r="AK66" s="71"/>
      <c r="AL66" s="71"/>
      <c r="AM66" s="71"/>
      <c r="AN66" s="71"/>
      <c r="AO66" s="96" t="str">
        <f>tbl_learners_info[[#This Row],[Last Name, First Name, Middle Initial ]]</f>
        <v/>
      </c>
      <c r="AP66" s="71"/>
      <c r="AQ66" s="71"/>
      <c r="AR66" s="71"/>
      <c r="AS66" s="71"/>
      <c r="AT66" s="71"/>
      <c r="AU66" s="71"/>
      <c r="AV66" s="71"/>
      <c r="AW66" s="71"/>
      <c r="AX66" s="71"/>
      <c r="AY66" s="71"/>
      <c r="AZ66" s="71"/>
      <c r="BA66" s="71"/>
      <c r="BB66" s="71"/>
      <c r="BC66" s="71"/>
      <c r="BD66" s="71"/>
      <c r="BE66" s="71"/>
      <c r="BF66" s="71"/>
      <c r="BG66" s="71"/>
      <c r="BH66" s="71"/>
      <c r="BI66" s="71"/>
      <c r="BJ66" s="96" t="str">
        <f>tbl_learners_info[[#This Row],[Last Name, First Name, Middle Initial ]]</f>
        <v/>
      </c>
      <c r="BK66" s="71"/>
      <c r="BL66" s="71"/>
      <c r="BM66" s="71"/>
      <c r="BN66" s="71"/>
      <c r="BO66" s="71"/>
      <c r="BP66" s="71"/>
      <c r="BQ66" s="71"/>
      <c r="BR66" s="71"/>
      <c r="BS66" s="71"/>
      <c r="BT66" s="71"/>
      <c r="BU66" s="71"/>
    </row>
    <row r="67" spans="3:73" ht="19.95" customHeight="1" x14ac:dyDescent="0.3">
      <c r="C67" s="80"/>
      <c r="D67" s="80"/>
      <c r="E67" s="80"/>
      <c r="F67" s="80"/>
      <c r="G67" s="80"/>
      <c r="H67" s="80"/>
      <c r="I67" s="6"/>
      <c r="J67" s="80"/>
      <c r="K67" s="80"/>
      <c r="L67" s="81"/>
      <c r="M67" s="82"/>
      <c r="N67" s="3"/>
      <c r="O67" s="83"/>
      <c r="P6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7" s="94" t="str">
        <f ca="1">IF(tbl_learners_info[[#This Row],[Date of Birth]]&lt;&gt;0,DATEDIF(tbl_learners_info[[#This Row],[Date of Birth]], TODAY(), "Y"),"")</f>
        <v/>
      </c>
      <c r="S67" s="95" t="str">
        <f>IF(tbl_learners_info[[#This Row],[Name of Previous School]]&lt;&gt;"",IF(tbl_learners_info[[#This Row],[Name of Previous School]]="EAST GUSA NATIONAL HIGH SCHOOL","NO","YES"),"")</f>
        <v/>
      </c>
      <c r="T67" s="96" t="str">
        <f>tbl_learners_info[[#This Row],[Full Name (Spelled Out)]]</f>
        <v/>
      </c>
      <c r="U67" s="71"/>
      <c r="V67" s="71"/>
      <c r="W67" s="71"/>
      <c r="X67" s="71"/>
      <c r="Y67" s="71"/>
      <c r="Z67" s="71"/>
      <c r="AA67" s="71"/>
      <c r="AB67" s="71"/>
      <c r="AC67" s="71"/>
      <c r="AD67" s="71"/>
      <c r="AE67" s="71"/>
      <c r="AF67" s="71"/>
      <c r="AG67" s="71"/>
      <c r="AH67" s="71"/>
      <c r="AI67" s="71"/>
      <c r="AJ67" s="71"/>
      <c r="AK67" s="71"/>
      <c r="AL67" s="71"/>
      <c r="AM67" s="71"/>
      <c r="AN67" s="71"/>
      <c r="AO67" s="96" t="str">
        <f>tbl_learners_info[[#This Row],[Last Name, First Name, Middle Initial ]]</f>
        <v/>
      </c>
      <c r="AP67" s="71"/>
      <c r="AQ67" s="71"/>
      <c r="AR67" s="71"/>
      <c r="AS67" s="71"/>
      <c r="AT67" s="71"/>
      <c r="AU67" s="71"/>
      <c r="AV67" s="71"/>
      <c r="AW67" s="71"/>
      <c r="AX67" s="71"/>
      <c r="AY67" s="71"/>
      <c r="AZ67" s="71"/>
      <c r="BA67" s="71"/>
      <c r="BB67" s="71"/>
      <c r="BC67" s="71"/>
      <c r="BD67" s="71"/>
      <c r="BE67" s="71"/>
      <c r="BF67" s="71"/>
      <c r="BG67" s="71"/>
      <c r="BH67" s="71"/>
      <c r="BI67" s="71"/>
      <c r="BJ67" s="96" t="str">
        <f>tbl_learners_info[[#This Row],[Last Name, First Name, Middle Initial ]]</f>
        <v/>
      </c>
      <c r="BK67" s="71"/>
      <c r="BL67" s="71"/>
      <c r="BM67" s="71"/>
      <c r="BN67" s="71"/>
      <c r="BO67" s="71"/>
      <c r="BP67" s="71"/>
      <c r="BQ67" s="71"/>
      <c r="BR67" s="71"/>
      <c r="BS67" s="71"/>
      <c r="BT67" s="71"/>
      <c r="BU67" s="71"/>
    </row>
    <row r="68" spans="3:73" ht="19.95" customHeight="1" x14ac:dyDescent="0.3">
      <c r="C68" s="80"/>
      <c r="D68" s="80"/>
      <c r="E68" s="80"/>
      <c r="F68" s="80"/>
      <c r="G68" s="80"/>
      <c r="H68" s="80"/>
      <c r="I68" s="6"/>
      <c r="J68" s="80"/>
      <c r="K68" s="80"/>
      <c r="L68" s="81"/>
      <c r="M68" s="82"/>
      <c r="N68" s="3"/>
      <c r="O68" s="83"/>
      <c r="P6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8" s="94" t="str">
        <f ca="1">IF(tbl_learners_info[[#This Row],[Date of Birth]]&lt;&gt;0,DATEDIF(tbl_learners_info[[#This Row],[Date of Birth]], TODAY(), "Y"),"")</f>
        <v/>
      </c>
      <c r="S68" s="95" t="str">
        <f>IF(tbl_learners_info[[#This Row],[Name of Previous School]]&lt;&gt;"",IF(tbl_learners_info[[#This Row],[Name of Previous School]]="EAST GUSA NATIONAL HIGH SCHOOL","NO","YES"),"")</f>
        <v/>
      </c>
      <c r="T68" s="96" t="str">
        <f>tbl_learners_info[[#This Row],[Full Name (Spelled Out)]]</f>
        <v/>
      </c>
      <c r="U68" s="71"/>
      <c r="V68" s="71"/>
      <c r="W68" s="71"/>
      <c r="X68" s="71"/>
      <c r="Y68" s="71"/>
      <c r="Z68" s="71"/>
      <c r="AA68" s="71"/>
      <c r="AB68" s="71"/>
      <c r="AC68" s="71"/>
      <c r="AD68" s="71"/>
      <c r="AE68" s="71"/>
      <c r="AF68" s="71"/>
      <c r="AG68" s="71"/>
      <c r="AH68" s="71"/>
      <c r="AI68" s="71"/>
      <c r="AJ68" s="71"/>
      <c r="AK68" s="71"/>
      <c r="AL68" s="71"/>
      <c r="AM68" s="71"/>
      <c r="AN68" s="71"/>
      <c r="AO68" s="96" t="str">
        <f>tbl_learners_info[[#This Row],[Last Name, First Name, Middle Initial ]]</f>
        <v/>
      </c>
      <c r="AP68" s="71"/>
      <c r="AQ68" s="71"/>
      <c r="AR68" s="71"/>
      <c r="AS68" s="71"/>
      <c r="AT68" s="71"/>
      <c r="AU68" s="71"/>
      <c r="AV68" s="71"/>
      <c r="AW68" s="71"/>
      <c r="AX68" s="71"/>
      <c r="AY68" s="71"/>
      <c r="AZ68" s="71"/>
      <c r="BA68" s="71"/>
      <c r="BB68" s="71"/>
      <c r="BC68" s="71"/>
      <c r="BD68" s="71"/>
      <c r="BE68" s="71"/>
      <c r="BF68" s="71"/>
      <c r="BG68" s="71"/>
      <c r="BH68" s="71"/>
      <c r="BI68" s="71"/>
      <c r="BJ68" s="96" t="str">
        <f>tbl_learners_info[[#This Row],[Last Name, First Name, Middle Initial ]]</f>
        <v/>
      </c>
      <c r="BK68" s="71"/>
      <c r="BL68" s="71"/>
      <c r="BM68" s="71"/>
      <c r="BN68" s="71"/>
      <c r="BO68" s="71"/>
      <c r="BP68" s="71"/>
      <c r="BQ68" s="71"/>
      <c r="BR68" s="71"/>
      <c r="BS68" s="71"/>
      <c r="BT68" s="71"/>
      <c r="BU68" s="71"/>
    </row>
    <row r="69" spans="3:73" ht="19.95" customHeight="1" x14ac:dyDescent="0.3">
      <c r="C69" s="80"/>
      <c r="D69" s="80"/>
      <c r="E69" s="80"/>
      <c r="F69" s="80"/>
      <c r="G69" s="80"/>
      <c r="H69" s="80"/>
      <c r="I69" s="6"/>
      <c r="J69" s="80"/>
      <c r="K69" s="80"/>
      <c r="L69" s="81"/>
      <c r="M69" s="82"/>
      <c r="N69" s="3"/>
      <c r="O69" s="83"/>
      <c r="P6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9" s="94" t="str">
        <f ca="1">IF(tbl_learners_info[[#This Row],[Date of Birth]]&lt;&gt;0,DATEDIF(tbl_learners_info[[#This Row],[Date of Birth]], TODAY(), "Y"),"")</f>
        <v/>
      </c>
      <c r="S69" s="95" t="str">
        <f>IF(tbl_learners_info[[#This Row],[Name of Previous School]]&lt;&gt;"",IF(tbl_learners_info[[#This Row],[Name of Previous School]]="EAST GUSA NATIONAL HIGH SCHOOL","NO","YES"),"")</f>
        <v/>
      </c>
      <c r="T69" s="96" t="str">
        <f>tbl_learners_info[[#This Row],[Full Name (Spelled Out)]]</f>
        <v/>
      </c>
      <c r="U69" s="71"/>
      <c r="V69" s="71"/>
      <c r="W69" s="71"/>
      <c r="X69" s="71"/>
      <c r="Y69" s="71"/>
      <c r="Z69" s="71"/>
      <c r="AA69" s="71"/>
      <c r="AB69" s="71"/>
      <c r="AC69" s="71"/>
      <c r="AD69" s="71"/>
      <c r="AE69" s="71"/>
      <c r="AF69" s="71"/>
      <c r="AG69" s="71"/>
      <c r="AH69" s="71"/>
      <c r="AI69" s="71"/>
      <c r="AJ69" s="71"/>
      <c r="AK69" s="71"/>
      <c r="AL69" s="71"/>
      <c r="AM69" s="71"/>
      <c r="AN69" s="71"/>
      <c r="AO69" s="96" t="str">
        <f>tbl_learners_info[[#This Row],[Last Name, First Name, Middle Initial ]]</f>
        <v/>
      </c>
      <c r="AP69" s="71"/>
      <c r="AQ69" s="71"/>
      <c r="AR69" s="71"/>
      <c r="AS69" s="71"/>
      <c r="AT69" s="71"/>
      <c r="AU69" s="71"/>
      <c r="AV69" s="71"/>
      <c r="AW69" s="71"/>
      <c r="AX69" s="71"/>
      <c r="AY69" s="71"/>
      <c r="AZ69" s="71"/>
      <c r="BA69" s="71"/>
      <c r="BB69" s="71"/>
      <c r="BC69" s="71"/>
      <c r="BD69" s="71"/>
      <c r="BE69" s="71"/>
      <c r="BF69" s="71"/>
      <c r="BG69" s="71"/>
      <c r="BH69" s="71"/>
      <c r="BI69" s="71"/>
      <c r="BJ69" s="96" t="str">
        <f>tbl_learners_info[[#This Row],[Last Name, First Name, Middle Initial ]]</f>
        <v/>
      </c>
      <c r="BK69" s="71"/>
      <c r="BL69" s="71"/>
      <c r="BM69" s="71"/>
      <c r="BN69" s="71"/>
      <c r="BO69" s="71"/>
      <c r="BP69" s="71"/>
      <c r="BQ69" s="71"/>
      <c r="BR69" s="71"/>
      <c r="BS69" s="71"/>
      <c r="BT69" s="71"/>
      <c r="BU69" s="71"/>
    </row>
    <row r="70" spans="3:73" ht="19.95" customHeight="1" x14ac:dyDescent="0.3">
      <c r="C70" s="80"/>
      <c r="D70" s="80"/>
      <c r="E70" s="80"/>
      <c r="F70" s="80"/>
      <c r="G70" s="80"/>
      <c r="H70" s="80"/>
      <c r="I70" s="6"/>
      <c r="J70" s="80"/>
      <c r="K70" s="80"/>
      <c r="L70" s="81"/>
      <c r="M70" s="82"/>
      <c r="N70" s="3"/>
      <c r="O70" s="83"/>
      <c r="P7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0" s="94" t="str">
        <f ca="1">IF(tbl_learners_info[[#This Row],[Date of Birth]]&lt;&gt;0,DATEDIF(tbl_learners_info[[#This Row],[Date of Birth]], TODAY(), "Y"),"")</f>
        <v/>
      </c>
      <c r="S70" s="95" t="str">
        <f>IF(tbl_learners_info[[#This Row],[Name of Previous School]]&lt;&gt;"",IF(tbl_learners_info[[#This Row],[Name of Previous School]]="EAST GUSA NATIONAL HIGH SCHOOL","NO","YES"),"")</f>
        <v/>
      </c>
      <c r="T70" s="96" t="str">
        <f>tbl_learners_info[[#This Row],[Full Name (Spelled Out)]]</f>
        <v/>
      </c>
      <c r="U70" s="71"/>
      <c r="V70" s="71"/>
      <c r="W70" s="71"/>
      <c r="X70" s="71"/>
      <c r="Y70" s="71"/>
      <c r="Z70" s="71"/>
      <c r="AA70" s="71"/>
      <c r="AB70" s="71"/>
      <c r="AC70" s="71"/>
      <c r="AD70" s="71"/>
      <c r="AE70" s="71"/>
      <c r="AF70" s="71"/>
      <c r="AG70" s="71"/>
      <c r="AH70" s="71"/>
      <c r="AI70" s="71"/>
      <c r="AJ70" s="71"/>
      <c r="AK70" s="71"/>
      <c r="AL70" s="71"/>
      <c r="AM70" s="71"/>
      <c r="AN70" s="71"/>
      <c r="AO70" s="96" t="str">
        <f>tbl_learners_info[[#This Row],[Last Name, First Name, Middle Initial ]]</f>
        <v/>
      </c>
      <c r="AP70" s="71"/>
      <c r="AQ70" s="71"/>
      <c r="AR70" s="71"/>
      <c r="AS70" s="71"/>
      <c r="AT70" s="71"/>
      <c r="AU70" s="71"/>
      <c r="AV70" s="71"/>
      <c r="AW70" s="71"/>
      <c r="AX70" s="71"/>
      <c r="AY70" s="71"/>
      <c r="AZ70" s="71"/>
      <c r="BA70" s="71"/>
      <c r="BB70" s="71"/>
      <c r="BC70" s="71"/>
      <c r="BD70" s="71"/>
      <c r="BE70" s="71"/>
      <c r="BF70" s="71"/>
      <c r="BG70" s="71"/>
      <c r="BH70" s="71"/>
      <c r="BI70" s="71"/>
      <c r="BJ70" s="96" t="str">
        <f>tbl_learners_info[[#This Row],[Last Name, First Name, Middle Initial ]]</f>
        <v/>
      </c>
      <c r="BK70" s="71"/>
      <c r="BL70" s="71"/>
      <c r="BM70" s="71"/>
      <c r="BN70" s="71"/>
      <c r="BO70" s="71"/>
      <c r="BP70" s="71"/>
      <c r="BQ70" s="71"/>
      <c r="BR70" s="71"/>
      <c r="BS70" s="71"/>
      <c r="BT70" s="71"/>
      <c r="BU70" s="71"/>
    </row>
    <row r="71" spans="3:73" ht="19.95" customHeight="1" x14ac:dyDescent="0.3">
      <c r="C71" s="80"/>
      <c r="D71" s="80"/>
      <c r="E71" s="80"/>
      <c r="F71" s="80"/>
      <c r="G71" s="80"/>
      <c r="H71" s="80"/>
      <c r="I71" s="6"/>
      <c r="J71" s="80"/>
      <c r="K71" s="80"/>
      <c r="L71" s="81"/>
      <c r="M71" s="82"/>
      <c r="N71" s="3"/>
      <c r="O71" s="83"/>
      <c r="P7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1" s="94" t="str">
        <f ca="1">IF(tbl_learners_info[[#This Row],[Date of Birth]]&lt;&gt;0,DATEDIF(tbl_learners_info[[#This Row],[Date of Birth]], TODAY(), "Y"),"")</f>
        <v/>
      </c>
      <c r="S71" s="95" t="str">
        <f>IF(tbl_learners_info[[#This Row],[Name of Previous School]]&lt;&gt;"",IF(tbl_learners_info[[#This Row],[Name of Previous School]]="EAST GUSA NATIONAL HIGH SCHOOL","NO","YES"),"")</f>
        <v/>
      </c>
      <c r="T71" s="96" t="str">
        <f>tbl_learners_info[[#This Row],[Full Name (Spelled Out)]]</f>
        <v/>
      </c>
      <c r="U71" s="71"/>
      <c r="V71" s="71"/>
      <c r="W71" s="71"/>
      <c r="X71" s="71"/>
      <c r="Y71" s="71"/>
      <c r="Z71" s="71"/>
      <c r="AA71" s="71"/>
      <c r="AB71" s="71"/>
      <c r="AC71" s="71"/>
      <c r="AD71" s="71"/>
      <c r="AE71" s="71"/>
      <c r="AF71" s="71"/>
      <c r="AG71" s="71"/>
      <c r="AH71" s="71"/>
      <c r="AI71" s="71"/>
      <c r="AJ71" s="71"/>
      <c r="AK71" s="71"/>
      <c r="AL71" s="71"/>
      <c r="AM71" s="71"/>
      <c r="AN71" s="71"/>
      <c r="AO71" s="96" t="str">
        <f>tbl_learners_info[[#This Row],[Last Name, First Name, Middle Initial ]]</f>
        <v/>
      </c>
      <c r="AP71" s="71"/>
      <c r="AQ71" s="71"/>
      <c r="AR71" s="71"/>
      <c r="AS71" s="71"/>
      <c r="AT71" s="71"/>
      <c r="AU71" s="71"/>
      <c r="AV71" s="71"/>
      <c r="AW71" s="71"/>
      <c r="AX71" s="71"/>
      <c r="AY71" s="71"/>
      <c r="AZ71" s="71"/>
      <c r="BA71" s="71"/>
      <c r="BB71" s="71"/>
      <c r="BC71" s="71"/>
      <c r="BD71" s="71"/>
      <c r="BE71" s="71"/>
      <c r="BF71" s="71"/>
      <c r="BG71" s="71"/>
      <c r="BH71" s="71"/>
      <c r="BI71" s="71"/>
      <c r="BJ71" s="96" t="str">
        <f>tbl_learners_info[[#This Row],[Last Name, First Name, Middle Initial ]]</f>
        <v/>
      </c>
      <c r="BK71" s="71"/>
      <c r="BL71" s="71"/>
      <c r="BM71" s="71"/>
      <c r="BN71" s="71"/>
      <c r="BO71" s="71"/>
      <c r="BP71" s="71"/>
      <c r="BQ71" s="71"/>
      <c r="BR71" s="71"/>
      <c r="BS71" s="71"/>
      <c r="BT71" s="71"/>
      <c r="BU71" s="71"/>
    </row>
    <row r="72" spans="3:73" ht="19.95" customHeight="1" x14ac:dyDescent="0.3">
      <c r="C72" s="80"/>
      <c r="D72" s="80"/>
      <c r="E72" s="80"/>
      <c r="F72" s="80"/>
      <c r="G72" s="80"/>
      <c r="H72" s="80"/>
      <c r="I72" s="6"/>
      <c r="J72" s="80"/>
      <c r="K72" s="80"/>
      <c r="L72" s="81"/>
      <c r="M72" s="82"/>
      <c r="N72" s="3"/>
      <c r="O72" s="83"/>
      <c r="P7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2" s="94" t="str">
        <f ca="1">IF(tbl_learners_info[[#This Row],[Date of Birth]]&lt;&gt;0,DATEDIF(tbl_learners_info[[#This Row],[Date of Birth]], TODAY(), "Y"),"")</f>
        <v/>
      </c>
      <c r="S72" s="95" t="str">
        <f>IF(tbl_learners_info[[#This Row],[Name of Previous School]]&lt;&gt;"",IF(tbl_learners_info[[#This Row],[Name of Previous School]]="EAST GUSA NATIONAL HIGH SCHOOL","NO","YES"),"")</f>
        <v/>
      </c>
      <c r="T72" s="96" t="str">
        <f>tbl_learners_info[[#This Row],[Full Name (Spelled Out)]]</f>
        <v/>
      </c>
      <c r="U72" s="71"/>
      <c r="V72" s="71"/>
      <c r="W72" s="71"/>
      <c r="X72" s="71"/>
      <c r="Y72" s="71"/>
      <c r="Z72" s="71"/>
      <c r="AA72" s="71"/>
      <c r="AB72" s="71"/>
      <c r="AC72" s="71"/>
      <c r="AD72" s="71"/>
      <c r="AE72" s="71"/>
      <c r="AF72" s="71"/>
      <c r="AG72" s="71"/>
      <c r="AH72" s="71"/>
      <c r="AI72" s="71"/>
      <c r="AJ72" s="71"/>
      <c r="AK72" s="71"/>
      <c r="AL72" s="71"/>
      <c r="AM72" s="71"/>
      <c r="AN72" s="71"/>
      <c r="AO72" s="96" t="str">
        <f>tbl_learners_info[[#This Row],[Last Name, First Name, Middle Initial ]]</f>
        <v/>
      </c>
      <c r="AP72" s="71"/>
      <c r="AQ72" s="71"/>
      <c r="AR72" s="71"/>
      <c r="AS72" s="71"/>
      <c r="AT72" s="71"/>
      <c r="AU72" s="71"/>
      <c r="AV72" s="71"/>
      <c r="AW72" s="71"/>
      <c r="AX72" s="71"/>
      <c r="AY72" s="71"/>
      <c r="AZ72" s="71"/>
      <c r="BA72" s="71"/>
      <c r="BB72" s="71"/>
      <c r="BC72" s="71"/>
      <c r="BD72" s="71"/>
      <c r="BE72" s="71"/>
      <c r="BF72" s="71"/>
      <c r="BG72" s="71"/>
      <c r="BH72" s="71"/>
      <c r="BI72" s="71"/>
      <c r="BJ72" s="96" t="str">
        <f>tbl_learners_info[[#This Row],[Last Name, First Name, Middle Initial ]]</f>
        <v/>
      </c>
      <c r="BK72" s="71"/>
      <c r="BL72" s="71"/>
      <c r="BM72" s="71"/>
      <c r="BN72" s="71"/>
      <c r="BO72" s="71"/>
      <c r="BP72" s="71"/>
      <c r="BQ72" s="71"/>
      <c r="BR72" s="71"/>
      <c r="BS72" s="71"/>
      <c r="BT72" s="71"/>
      <c r="BU72" s="71"/>
    </row>
    <row r="73" spans="3:73" ht="19.95" customHeight="1" x14ac:dyDescent="0.3">
      <c r="C73" s="80"/>
      <c r="D73" s="80"/>
      <c r="E73" s="80"/>
      <c r="F73" s="80"/>
      <c r="G73" s="80"/>
      <c r="H73" s="80"/>
      <c r="I73" s="6"/>
      <c r="J73" s="80"/>
      <c r="K73" s="80"/>
      <c r="L73" s="81"/>
      <c r="M73" s="82"/>
      <c r="N73" s="3"/>
      <c r="O73" s="83"/>
      <c r="P7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3" s="94" t="str">
        <f ca="1">IF(tbl_learners_info[[#This Row],[Date of Birth]]&lt;&gt;0,DATEDIF(tbl_learners_info[[#This Row],[Date of Birth]], TODAY(), "Y"),"")</f>
        <v/>
      </c>
      <c r="S73" s="95" t="str">
        <f>IF(tbl_learners_info[[#This Row],[Name of Previous School]]&lt;&gt;"",IF(tbl_learners_info[[#This Row],[Name of Previous School]]="EAST GUSA NATIONAL HIGH SCHOOL","NO","YES"),"")</f>
        <v/>
      </c>
      <c r="T73" s="96" t="str">
        <f>tbl_learners_info[[#This Row],[Full Name (Spelled Out)]]</f>
        <v/>
      </c>
      <c r="U73" s="71"/>
      <c r="V73" s="71"/>
      <c r="W73" s="71"/>
      <c r="X73" s="71"/>
      <c r="Y73" s="71"/>
      <c r="Z73" s="71"/>
      <c r="AA73" s="71"/>
      <c r="AB73" s="71"/>
      <c r="AC73" s="71"/>
      <c r="AD73" s="71"/>
      <c r="AE73" s="71"/>
      <c r="AF73" s="71"/>
      <c r="AG73" s="71"/>
      <c r="AH73" s="71"/>
      <c r="AI73" s="71"/>
      <c r="AJ73" s="71"/>
      <c r="AK73" s="71"/>
      <c r="AL73" s="71"/>
      <c r="AM73" s="71"/>
      <c r="AN73" s="71"/>
      <c r="AO73" s="96" t="str">
        <f>tbl_learners_info[[#This Row],[Last Name, First Name, Middle Initial ]]</f>
        <v/>
      </c>
      <c r="AP73" s="71"/>
      <c r="AQ73" s="71"/>
      <c r="AR73" s="71"/>
      <c r="AS73" s="71"/>
      <c r="AT73" s="71"/>
      <c r="AU73" s="71"/>
      <c r="AV73" s="71"/>
      <c r="AW73" s="71"/>
      <c r="AX73" s="71"/>
      <c r="AY73" s="71"/>
      <c r="AZ73" s="71"/>
      <c r="BA73" s="71"/>
      <c r="BB73" s="71"/>
      <c r="BC73" s="71"/>
      <c r="BD73" s="71"/>
      <c r="BE73" s="71"/>
      <c r="BF73" s="71"/>
      <c r="BG73" s="71"/>
      <c r="BH73" s="71"/>
      <c r="BI73" s="71"/>
      <c r="BJ73" s="96" t="str">
        <f>tbl_learners_info[[#This Row],[Last Name, First Name, Middle Initial ]]</f>
        <v/>
      </c>
      <c r="BK73" s="71"/>
      <c r="BL73" s="71"/>
      <c r="BM73" s="71"/>
      <c r="BN73" s="71"/>
      <c r="BO73" s="71"/>
      <c r="BP73" s="71"/>
      <c r="BQ73" s="71"/>
      <c r="BR73" s="71"/>
      <c r="BS73" s="71"/>
      <c r="BT73" s="71"/>
      <c r="BU73" s="71"/>
    </row>
    <row r="74" spans="3:73" ht="19.95" customHeight="1" x14ac:dyDescent="0.3">
      <c r="C74" s="80"/>
      <c r="D74" s="80"/>
      <c r="E74" s="80"/>
      <c r="F74" s="80"/>
      <c r="G74" s="80"/>
      <c r="H74" s="80"/>
      <c r="I74" s="6"/>
      <c r="J74" s="80"/>
      <c r="K74" s="80"/>
      <c r="L74" s="81"/>
      <c r="M74" s="82"/>
      <c r="N74" s="3"/>
      <c r="O74" s="83"/>
      <c r="P7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4" s="94" t="str">
        <f ca="1">IF(tbl_learners_info[[#This Row],[Date of Birth]]&lt;&gt;0,DATEDIF(tbl_learners_info[[#This Row],[Date of Birth]], TODAY(), "Y"),"")</f>
        <v/>
      </c>
      <c r="S74" s="95" t="str">
        <f>IF(tbl_learners_info[[#This Row],[Name of Previous School]]&lt;&gt;"",IF(tbl_learners_info[[#This Row],[Name of Previous School]]="EAST GUSA NATIONAL HIGH SCHOOL","NO","YES"),"")</f>
        <v/>
      </c>
      <c r="T74" s="96" t="str">
        <f>tbl_learners_info[[#This Row],[Full Name (Spelled Out)]]</f>
        <v/>
      </c>
      <c r="U74" s="71"/>
      <c r="V74" s="71"/>
      <c r="W74" s="71"/>
      <c r="X74" s="71"/>
      <c r="Y74" s="71"/>
      <c r="Z74" s="71"/>
      <c r="AA74" s="71"/>
      <c r="AB74" s="71"/>
      <c r="AC74" s="71"/>
      <c r="AD74" s="71"/>
      <c r="AE74" s="71"/>
      <c r="AF74" s="71"/>
      <c r="AG74" s="71"/>
      <c r="AH74" s="71"/>
      <c r="AI74" s="71"/>
      <c r="AJ74" s="71"/>
      <c r="AK74" s="71"/>
      <c r="AL74" s="71"/>
      <c r="AM74" s="71"/>
      <c r="AN74" s="71"/>
      <c r="AO74" s="96" t="str">
        <f>tbl_learners_info[[#This Row],[Last Name, First Name, Middle Initial ]]</f>
        <v/>
      </c>
      <c r="AP74" s="71"/>
      <c r="AQ74" s="71"/>
      <c r="AR74" s="71"/>
      <c r="AS74" s="71"/>
      <c r="AT74" s="71"/>
      <c r="AU74" s="71"/>
      <c r="AV74" s="71"/>
      <c r="AW74" s="71"/>
      <c r="AX74" s="71"/>
      <c r="AY74" s="71"/>
      <c r="AZ74" s="71"/>
      <c r="BA74" s="71"/>
      <c r="BB74" s="71"/>
      <c r="BC74" s="71"/>
      <c r="BD74" s="71"/>
      <c r="BE74" s="71"/>
      <c r="BF74" s="71"/>
      <c r="BG74" s="71"/>
      <c r="BH74" s="71"/>
      <c r="BI74" s="71"/>
      <c r="BJ74" s="96" t="str">
        <f>tbl_learners_info[[#This Row],[Last Name, First Name, Middle Initial ]]</f>
        <v/>
      </c>
      <c r="BK74" s="71"/>
      <c r="BL74" s="71"/>
      <c r="BM74" s="71"/>
      <c r="BN74" s="71"/>
      <c r="BO74" s="71"/>
      <c r="BP74" s="71"/>
      <c r="BQ74" s="71"/>
      <c r="BR74" s="71"/>
      <c r="BS74" s="71"/>
      <c r="BT74" s="71"/>
      <c r="BU74" s="71"/>
    </row>
    <row r="75" spans="3:73" ht="19.95" customHeight="1" x14ac:dyDescent="0.3">
      <c r="C75" s="80"/>
      <c r="D75" s="80"/>
      <c r="E75" s="80"/>
      <c r="F75" s="80"/>
      <c r="G75" s="80"/>
      <c r="H75" s="80"/>
      <c r="I75" s="6"/>
      <c r="J75" s="80"/>
      <c r="K75" s="80"/>
      <c r="L75" s="81"/>
      <c r="M75" s="82"/>
      <c r="N75" s="3"/>
      <c r="O75" s="83"/>
      <c r="P7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5" s="94" t="str">
        <f ca="1">IF(tbl_learners_info[[#This Row],[Date of Birth]]&lt;&gt;0,DATEDIF(tbl_learners_info[[#This Row],[Date of Birth]], TODAY(), "Y"),"")</f>
        <v/>
      </c>
      <c r="S75" s="95" t="str">
        <f>IF(tbl_learners_info[[#This Row],[Name of Previous School]]&lt;&gt;"",IF(tbl_learners_info[[#This Row],[Name of Previous School]]="EAST GUSA NATIONAL HIGH SCHOOL","NO","YES"),"")</f>
        <v/>
      </c>
      <c r="T75" s="96" t="str">
        <f>tbl_learners_info[[#This Row],[Full Name (Spelled Out)]]</f>
        <v/>
      </c>
      <c r="U75" s="71"/>
      <c r="V75" s="71"/>
      <c r="W75" s="71"/>
      <c r="X75" s="71"/>
      <c r="Y75" s="71"/>
      <c r="Z75" s="71"/>
      <c r="AA75" s="71"/>
      <c r="AB75" s="71"/>
      <c r="AC75" s="71"/>
      <c r="AD75" s="71"/>
      <c r="AE75" s="71"/>
      <c r="AF75" s="71"/>
      <c r="AG75" s="71"/>
      <c r="AH75" s="71"/>
      <c r="AI75" s="71"/>
      <c r="AJ75" s="71"/>
      <c r="AK75" s="71"/>
      <c r="AL75" s="71"/>
      <c r="AM75" s="71"/>
      <c r="AN75" s="71"/>
      <c r="AO75" s="96" t="str">
        <f>tbl_learners_info[[#This Row],[Last Name, First Name, Middle Initial ]]</f>
        <v/>
      </c>
      <c r="AP75" s="71"/>
      <c r="AQ75" s="71"/>
      <c r="AR75" s="71"/>
      <c r="AS75" s="71"/>
      <c r="AT75" s="71"/>
      <c r="AU75" s="71"/>
      <c r="AV75" s="71"/>
      <c r="AW75" s="71"/>
      <c r="AX75" s="71"/>
      <c r="AY75" s="71"/>
      <c r="AZ75" s="71"/>
      <c r="BA75" s="71"/>
      <c r="BB75" s="71"/>
      <c r="BC75" s="71"/>
      <c r="BD75" s="71"/>
      <c r="BE75" s="71"/>
      <c r="BF75" s="71"/>
      <c r="BG75" s="71"/>
      <c r="BH75" s="71"/>
      <c r="BI75" s="71"/>
      <c r="BJ75" s="96" t="str">
        <f>tbl_learners_info[[#This Row],[Last Name, First Name, Middle Initial ]]</f>
        <v/>
      </c>
      <c r="BK75" s="71"/>
      <c r="BL75" s="71"/>
      <c r="BM75" s="71"/>
      <c r="BN75" s="71"/>
      <c r="BO75" s="71"/>
      <c r="BP75" s="71"/>
      <c r="BQ75" s="71"/>
      <c r="BR75" s="71"/>
      <c r="BS75" s="71"/>
      <c r="BT75" s="71"/>
      <c r="BU75" s="71"/>
    </row>
    <row r="76" spans="3:73" ht="19.95" customHeight="1" x14ac:dyDescent="0.3">
      <c r="C76" s="80"/>
      <c r="D76" s="80"/>
      <c r="E76" s="80"/>
      <c r="F76" s="80"/>
      <c r="G76" s="80"/>
      <c r="H76" s="80"/>
      <c r="I76" s="6"/>
      <c r="J76" s="80"/>
      <c r="K76" s="80"/>
      <c r="L76" s="81"/>
      <c r="M76" s="82"/>
      <c r="N76" s="3"/>
      <c r="O76" s="83"/>
      <c r="P7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6" s="94" t="str">
        <f ca="1">IF(tbl_learners_info[[#This Row],[Date of Birth]]&lt;&gt;0,DATEDIF(tbl_learners_info[[#This Row],[Date of Birth]], TODAY(), "Y"),"")</f>
        <v/>
      </c>
      <c r="S76" s="95" t="str">
        <f>IF(tbl_learners_info[[#This Row],[Name of Previous School]]&lt;&gt;"",IF(tbl_learners_info[[#This Row],[Name of Previous School]]="EAST GUSA NATIONAL HIGH SCHOOL","NO","YES"),"")</f>
        <v/>
      </c>
      <c r="T76" s="96" t="str">
        <f>tbl_learners_info[[#This Row],[Full Name (Spelled Out)]]</f>
        <v/>
      </c>
      <c r="U76" s="71"/>
      <c r="V76" s="71"/>
      <c r="W76" s="71"/>
      <c r="X76" s="71"/>
      <c r="Y76" s="71"/>
      <c r="Z76" s="71"/>
      <c r="AA76" s="71"/>
      <c r="AB76" s="71"/>
      <c r="AC76" s="71"/>
      <c r="AD76" s="71"/>
      <c r="AE76" s="71"/>
      <c r="AF76" s="71"/>
      <c r="AG76" s="71"/>
      <c r="AH76" s="71"/>
      <c r="AI76" s="71"/>
      <c r="AJ76" s="71"/>
      <c r="AK76" s="71"/>
      <c r="AL76" s="71"/>
      <c r="AM76" s="71"/>
      <c r="AN76" s="71"/>
      <c r="AO76" s="96" t="str">
        <f>tbl_learners_info[[#This Row],[Last Name, First Name, Middle Initial ]]</f>
        <v/>
      </c>
      <c r="AP76" s="71"/>
      <c r="AQ76" s="71"/>
      <c r="AR76" s="71"/>
      <c r="AS76" s="71"/>
      <c r="AT76" s="71"/>
      <c r="AU76" s="71"/>
      <c r="AV76" s="71"/>
      <c r="AW76" s="71"/>
      <c r="AX76" s="71"/>
      <c r="AY76" s="71"/>
      <c r="AZ76" s="71"/>
      <c r="BA76" s="71"/>
      <c r="BB76" s="71"/>
      <c r="BC76" s="71"/>
      <c r="BD76" s="71"/>
      <c r="BE76" s="71"/>
      <c r="BF76" s="71"/>
      <c r="BG76" s="71"/>
      <c r="BH76" s="71"/>
      <c r="BI76" s="71"/>
      <c r="BJ76" s="96" t="str">
        <f>tbl_learners_info[[#This Row],[Last Name, First Name, Middle Initial ]]</f>
        <v/>
      </c>
      <c r="BK76" s="71"/>
      <c r="BL76" s="71"/>
      <c r="BM76" s="71"/>
      <c r="BN76" s="71"/>
      <c r="BO76" s="71"/>
      <c r="BP76" s="71"/>
      <c r="BQ76" s="71"/>
      <c r="BR76" s="71"/>
      <c r="BS76" s="71"/>
      <c r="BT76" s="71"/>
      <c r="BU76" s="71"/>
    </row>
    <row r="77" spans="3:73" ht="19.95" customHeight="1" x14ac:dyDescent="0.3">
      <c r="C77" s="80"/>
      <c r="D77" s="80"/>
      <c r="E77" s="80"/>
      <c r="F77" s="80"/>
      <c r="G77" s="80"/>
      <c r="H77" s="80"/>
      <c r="I77" s="6"/>
      <c r="J77" s="80"/>
      <c r="K77" s="80"/>
      <c r="L77" s="81"/>
      <c r="M77" s="82"/>
      <c r="N77" s="3"/>
      <c r="O77" s="83"/>
      <c r="P7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7" s="94" t="str">
        <f ca="1">IF(tbl_learners_info[[#This Row],[Date of Birth]]&lt;&gt;0,DATEDIF(tbl_learners_info[[#This Row],[Date of Birth]], TODAY(), "Y"),"")</f>
        <v/>
      </c>
      <c r="S77" s="95" t="str">
        <f>IF(tbl_learners_info[[#This Row],[Name of Previous School]]&lt;&gt;"",IF(tbl_learners_info[[#This Row],[Name of Previous School]]="EAST GUSA NATIONAL HIGH SCHOOL","NO","YES"),"")</f>
        <v/>
      </c>
      <c r="T77" s="96" t="str">
        <f>tbl_learners_info[[#This Row],[Full Name (Spelled Out)]]</f>
        <v/>
      </c>
      <c r="U77" s="71"/>
      <c r="V77" s="71"/>
      <c r="W77" s="71"/>
      <c r="X77" s="71"/>
      <c r="Y77" s="71"/>
      <c r="Z77" s="71"/>
      <c r="AA77" s="71"/>
      <c r="AB77" s="71"/>
      <c r="AC77" s="71"/>
      <c r="AD77" s="71"/>
      <c r="AE77" s="71"/>
      <c r="AF77" s="71"/>
      <c r="AG77" s="71"/>
      <c r="AH77" s="71"/>
      <c r="AI77" s="71"/>
      <c r="AJ77" s="71"/>
      <c r="AK77" s="71"/>
      <c r="AL77" s="71"/>
      <c r="AM77" s="71"/>
      <c r="AN77" s="71"/>
      <c r="AO77" s="96" t="str">
        <f>tbl_learners_info[[#This Row],[Last Name, First Name, Middle Initial ]]</f>
        <v/>
      </c>
      <c r="AP77" s="71"/>
      <c r="AQ77" s="71"/>
      <c r="AR77" s="71"/>
      <c r="AS77" s="71"/>
      <c r="AT77" s="71"/>
      <c r="AU77" s="71"/>
      <c r="AV77" s="71"/>
      <c r="AW77" s="71"/>
      <c r="AX77" s="71"/>
      <c r="AY77" s="71"/>
      <c r="AZ77" s="71"/>
      <c r="BA77" s="71"/>
      <c r="BB77" s="71"/>
      <c r="BC77" s="71"/>
      <c r="BD77" s="71"/>
      <c r="BE77" s="71"/>
      <c r="BF77" s="71"/>
      <c r="BG77" s="71"/>
      <c r="BH77" s="71"/>
      <c r="BI77" s="71"/>
      <c r="BJ77" s="96" t="str">
        <f>tbl_learners_info[[#This Row],[Last Name, First Name, Middle Initial ]]</f>
        <v/>
      </c>
      <c r="BK77" s="71"/>
      <c r="BL77" s="71"/>
      <c r="BM77" s="71"/>
      <c r="BN77" s="71"/>
      <c r="BO77" s="71"/>
      <c r="BP77" s="71"/>
      <c r="BQ77" s="71"/>
      <c r="BR77" s="71"/>
      <c r="BS77" s="71"/>
      <c r="BT77" s="71"/>
      <c r="BU77" s="71"/>
    </row>
    <row r="78" spans="3:73" ht="19.95" customHeight="1" x14ac:dyDescent="0.3">
      <c r="C78" s="80"/>
      <c r="D78" s="80"/>
      <c r="E78" s="80"/>
      <c r="F78" s="80"/>
      <c r="G78" s="80"/>
      <c r="H78" s="80"/>
      <c r="I78" s="6"/>
      <c r="J78" s="80"/>
      <c r="K78" s="80"/>
      <c r="L78" s="81"/>
      <c r="M78" s="82"/>
      <c r="N78" s="3"/>
      <c r="O78" s="83"/>
      <c r="P7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8" s="94" t="str">
        <f ca="1">IF(tbl_learners_info[[#This Row],[Date of Birth]]&lt;&gt;0,DATEDIF(tbl_learners_info[[#This Row],[Date of Birth]], TODAY(), "Y"),"")</f>
        <v/>
      </c>
      <c r="S78" s="95" t="str">
        <f>IF(tbl_learners_info[[#This Row],[Name of Previous School]]&lt;&gt;"",IF(tbl_learners_info[[#This Row],[Name of Previous School]]="EAST GUSA NATIONAL HIGH SCHOOL","NO","YES"),"")</f>
        <v/>
      </c>
      <c r="T78" s="96" t="str">
        <f>tbl_learners_info[[#This Row],[Full Name (Spelled Out)]]</f>
        <v/>
      </c>
      <c r="U78" s="71"/>
      <c r="V78" s="71"/>
      <c r="W78" s="71"/>
      <c r="X78" s="71"/>
      <c r="Y78" s="71"/>
      <c r="Z78" s="71"/>
      <c r="AA78" s="71"/>
      <c r="AB78" s="71"/>
      <c r="AC78" s="71"/>
      <c r="AD78" s="71"/>
      <c r="AE78" s="71"/>
      <c r="AF78" s="71"/>
      <c r="AG78" s="71"/>
      <c r="AH78" s="71"/>
      <c r="AI78" s="71"/>
      <c r="AJ78" s="71"/>
      <c r="AK78" s="71"/>
      <c r="AL78" s="71"/>
      <c r="AM78" s="71"/>
      <c r="AN78" s="71"/>
      <c r="AO78" s="96" t="str">
        <f>tbl_learners_info[[#This Row],[Last Name, First Name, Middle Initial ]]</f>
        <v/>
      </c>
      <c r="AP78" s="71"/>
      <c r="AQ78" s="71"/>
      <c r="AR78" s="71"/>
      <c r="AS78" s="71"/>
      <c r="AT78" s="71"/>
      <c r="AU78" s="71"/>
      <c r="AV78" s="71"/>
      <c r="AW78" s="71"/>
      <c r="AX78" s="71"/>
      <c r="AY78" s="71"/>
      <c r="AZ78" s="71"/>
      <c r="BA78" s="71"/>
      <c r="BB78" s="71"/>
      <c r="BC78" s="71"/>
      <c r="BD78" s="71"/>
      <c r="BE78" s="71"/>
      <c r="BF78" s="71"/>
      <c r="BG78" s="71"/>
      <c r="BH78" s="71"/>
      <c r="BI78" s="71"/>
      <c r="BJ78" s="96" t="str">
        <f>tbl_learners_info[[#This Row],[Last Name, First Name, Middle Initial ]]</f>
        <v/>
      </c>
      <c r="BK78" s="71"/>
      <c r="BL78" s="71"/>
      <c r="BM78" s="71"/>
      <c r="BN78" s="71"/>
      <c r="BO78" s="71"/>
      <c r="BP78" s="71"/>
      <c r="BQ78" s="71"/>
      <c r="BR78" s="71"/>
      <c r="BS78" s="71"/>
      <c r="BT78" s="71"/>
      <c r="BU78" s="71"/>
    </row>
    <row r="79" spans="3:73" ht="19.95" customHeight="1" x14ac:dyDescent="0.3">
      <c r="C79" s="80"/>
      <c r="D79" s="80"/>
      <c r="E79" s="80"/>
      <c r="F79" s="80"/>
      <c r="G79" s="80"/>
      <c r="H79" s="80"/>
      <c r="I79" s="6"/>
      <c r="J79" s="80"/>
      <c r="K79" s="80"/>
      <c r="L79" s="81"/>
      <c r="M79" s="82"/>
      <c r="N79" s="3"/>
      <c r="O79" s="83"/>
      <c r="P7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9" s="94" t="str">
        <f ca="1">IF(tbl_learners_info[[#This Row],[Date of Birth]]&lt;&gt;0,DATEDIF(tbl_learners_info[[#This Row],[Date of Birth]], TODAY(), "Y"),"")</f>
        <v/>
      </c>
      <c r="S79" s="95" t="str">
        <f>IF(tbl_learners_info[[#This Row],[Name of Previous School]]&lt;&gt;"",IF(tbl_learners_info[[#This Row],[Name of Previous School]]="EAST GUSA NATIONAL HIGH SCHOOL","NO","YES"),"")</f>
        <v/>
      </c>
      <c r="T79" s="96" t="str">
        <f>tbl_learners_info[[#This Row],[Full Name (Spelled Out)]]</f>
        <v/>
      </c>
      <c r="U79" s="71"/>
      <c r="V79" s="71"/>
      <c r="W79" s="71"/>
      <c r="X79" s="71"/>
      <c r="Y79" s="71"/>
      <c r="Z79" s="71"/>
      <c r="AA79" s="71"/>
      <c r="AB79" s="71"/>
      <c r="AC79" s="71"/>
      <c r="AD79" s="71"/>
      <c r="AE79" s="71"/>
      <c r="AF79" s="71"/>
      <c r="AG79" s="71"/>
      <c r="AH79" s="71"/>
      <c r="AI79" s="71"/>
      <c r="AJ79" s="71"/>
      <c r="AK79" s="71"/>
      <c r="AL79" s="71"/>
      <c r="AM79" s="71"/>
      <c r="AN79" s="71"/>
      <c r="AO79" s="96" t="str">
        <f>tbl_learners_info[[#This Row],[Last Name, First Name, Middle Initial ]]</f>
        <v/>
      </c>
      <c r="AP79" s="71"/>
      <c r="AQ79" s="71"/>
      <c r="AR79" s="71"/>
      <c r="AS79" s="71"/>
      <c r="AT79" s="71"/>
      <c r="AU79" s="71"/>
      <c r="AV79" s="71"/>
      <c r="AW79" s="71"/>
      <c r="AX79" s="71"/>
      <c r="AY79" s="71"/>
      <c r="AZ79" s="71"/>
      <c r="BA79" s="71"/>
      <c r="BB79" s="71"/>
      <c r="BC79" s="71"/>
      <c r="BD79" s="71"/>
      <c r="BE79" s="71"/>
      <c r="BF79" s="71"/>
      <c r="BG79" s="71"/>
      <c r="BH79" s="71"/>
      <c r="BI79" s="71"/>
      <c r="BJ79" s="96" t="str">
        <f>tbl_learners_info[[#This Row],[Last Name, First Name, Middle Initial ]]</f>
        <v/>
      </c>
      <c r="BK79" s="71"/>
      <c r="BL79" s="71"/>
      <c r="BM79" s="71"/>
      <c r="BN79" s="71"/>
      <c r="BO79" s="71"/>
      <c r="BP79" s="71"/>
      <c r="BQ79" s="71"/>
      <c r="BR79" s="71"/>
      <c r="BS79" s="71"/>
      <c r="BT79" s="71"/>
      <c r="BU79" s="71"/>
    </row>
    <row r="80" spans="3:73" ht="19.95" customHeight="1" x14ac:dyDescent="0.3">
      <c r="C80" s="80"/>
      <c r="D80" s="80"/>
      <c r="E80" s="80"/>
      <c r="F80" s="80"/>
      <c r="G80" s="80"/>
      <c r="H80" s="80"/>
      <c r="I80" s="6"/>
      <c r="J80" s="80"/>
      <c r="K80" s="80"/>
      <c r="L80" s="81"/>
      <c r="M80" s="82"/>
      <c r="N80" s="3"/>
      <c r="O80" s="83"/>
      <c r="P8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0" s="94" t="str">
        <f ca="1">IF(tbl_learners_info[[#This Row],[Date of Birth]]&lt;&gt;0,DATEDIF(tbl_learners_info[[#This Row],[Date of Birth]], TODAY(), "Y"),"")</f>
        <v/>
      </c>
      <c r="S80" s="95" t="str">
        <f>IF(tbl_learners_info[[#This Row],[Name of Previous School]]&lt;&gt;"",IF(tbl_learners_info[[#This Row],[Name of Previous School]]="EAST GUSA NATIONAL HIGH SCHOOL","NO","YES"),"")</f>
        <v/>
      </c>
      <c r="T80" s="96" t="str">
        <f>tbl_learners_info[[#This Row],[Full Name (Spelled Out)]]</f>
        <v/>
      </c>
      <c r="U80" s="71"/>
      <c r="V80" s="71"/>
      <c r="W80" s="71"/>
      <c r="X80" s="71"/>
      <c r="Y80" s="71"/>
      <c r="Z80" s="71"/>
      <c r="AA80" s="71"/>
      <c r="AB80" s="71"/>
      <c r="AC80" s="71"/>
      <c r="AD80" s="71"/>
      <c r="AE80" s="71"/>
      <c r="AF80" s="71"/>
      <c r="AG80" s="71"/>
      <c r="AH80" s="71"/>
      <c r="AI80" s="71"/>
      <c r="AJ80" s="71"/>
      <c r="AK80" s="71"/>
      <c r="AL80" s="71"/>
      <c r="AM80" s="71"/>
      <c r="AN80" s="71"/>
      <c r="AO80" s="96" t="str">
        <f>tbl_learners_info[[#This Row],[Last Name, First Name, Middle Initial ]]</f>
        <v/>
      </c>
      <c r="AP80" s="71"/>
      <c r="AQ80" s="71"/>
      <c r="AR80" s="71"/>
      <c r="AS80" s="71"/>
      <c r="AT80" s="71"/>
      <c r="AU80" s="71"/>
      <c r="AV80" s="71"/>
      <c r="AW80" s="71"/>
      <c r="AX80" s="71"/>
      <c r="AY80" s="71"/>
      <c r="AZ80" s="71"/>
      <c r="BA80" s="71"/>
      <c r="BB80" s="71"/>
      <c r="BC80" s="71"/>
      <c r="BD80" s="71"/>
      <c r="BE80" s="71"/>
      <c r="BF80" s="71"/>
      <c r="BG80" s="71"/>
      <c r="BH80" s="71"/>
      <c r="BI80" s="71"/>
      <c r="BJ80" s="96" t="str">
        <f>tbl_learners_info[[#This Row],[Last Name, First Name, Middle Initial ]]</f>
        <v/>
      </c>
      <c r="BK80" s="71"/>
      <c r="BL80" s="71"/>
      <c r="BM80" s="71"/>
      <c r="BN80" s="71"/>
      <c r="BO80" s="71"/>
      <c r="BP80" s="71"/>
      <c r="BQ80" s="71"/>
      <c r="BR80" s="71"/>
      <c r="BS80" s="71"/>
      <c r="BT80" s="71"/>
      <c r="BU80" s="71"/>
    </row>
    <row r="81" spans="3:73" ht="19.95" customHeight="1" x14ac:dyDescent="0.3">
      <c r="C81" s="80"/>
      <c r="D81" s="80"/>
      <c r="E81" s="80"/>
      <c r="F81" s="80"/>
      <c r="G81" s="80"/>
      <c r="H81" s="80"/>
      <c r="I81" s="6"/>
      <c r="J81" s="80"/>
      <c r="K81" s="80"/>
      <c r="L81" s="81"/>
      <c r="M81" s="82"/>
      <c r="N81" s="3"/>
      <c r="O81" s="83"/>
      <c r="P8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1" s="94" t="str">
        <f ca="1">IF(tbl_learners_info[[#This Row],[Date of Birth]]&lt;&gt;0,DATEDIF(tbl_learners_info[[#This Row],[Date of Birth]], TODAY(), "Y"),"")</f>
        <v/>
      </c>
      <c r="S81" s="95" t="str">
        <f>IF(tbl_learners_info[[#This Row],[Name of Previous School]]&lt;&gt;"",IF(tbl_learners_info[[#This Row],[Name of Previous School]]="EAST GUSA NATIONAL HIGH SCHOOL","NO","YES"),"")</f>
        <v/>
      </c>
      <c r="T81" s="96" t="str">
        <f>tbl_learners_info[[#This Row],[Full Name (Spelled Out)]]</f>
        <v/>
      </c>
      <c r="U81" s="71"/>
      <c r="V81" s="71"/>
      <c r="W81" s="71"/>
      <c r="X81" s="71"/>
      <c r="Y81" s="71"/>
      <c r="Z81" s="71"/>
      <c r="AA81" s="71"/>
      <c r="AB81" s="71"/>
      <c r="AC81" s="71"/>
      <c r="AD81" s="71"/>
      <c r="AE81" s="71"/>
      <c r="AF81" s="71"/>
      <c r="AG81" s="71"/>
      <c r="AH81" s="71"/>
      <c r="AI81" s="71"/>
      <c r="AJ81" s="71"/>
      <c r="AK81" s="71"/>
      <c r="AL81" s="71"/>
      <c r="AM81" s="71"/>
      <c r="AN81" s="71"/>
      <c r="AO81" s="96" t="str">
        <f>tbl_learners_info[[#This Row],[Last Name, First Name, Middle Initial ]]</f>
        <v/>
      </c>
      <c r="AP81" s="71"/>
      <c r="AQ81" s="71"/>
      <c r="AR81" s="71"/>
      <c r="AS81" s="71"/>
      <c r="AT81" s="71"/>
      <c r="AU81" s="71"/>
      <c r="AV81" s="71"/>
      <c r="AW81" s="71"/>
      <c r="AX81" s="71"/>
      <c r="AY81" s="71"/>
      <c r="AZ81" s="71"/>
      <c r="BA81" s="71"/>
      <c r="BB81" s="71"/>
      <c r="BC81" s="71"/>
      <c r="BD81" s="71"/>
      <c r="BE81" s="71"/>
      <c r="BF81" s="71"/>
      <c r="BG81" s="71"/>
      <c r="BH81" s="71"/>
      <c r="BI81" s="71"/>
      <c r="BJ81" s="96" t="str">
        <f>tbl_learners_info[[#This Row],[Last Name, First Name, Middle Initial ]]</f>
        <v/>
      </c>
      <c r="BK81" s="71"/>
      <c r="BL81" s="71"/>
      <c r="BM81" s="71"/>
      <c r="BN81" s="71"/>
      <c r="BO81" s="71"/>
      <c r="BP81" s="71"/>
      <c r="BQ81" s="71"/>
      <c r="BR81" s="71"/>
      <c r="BS81" s="71"/>
      <c r="BT81" s="71"/>
      <c r="BU81" s="71"/>
    </row>
    <row r="82" spans="3:73" ht="19.95" customHeight="1" x14ac:dyDescent="0.3">
      <c r="C82" s="80"/>
      <c r="D82" s="80"/>
      <c r="E82" s="80"/>
      <c r="F82" s="80"/>
      <c r="G82" s="80"/>
      <c r="H82" s="80"/>
      <c r="I82" s="6"/>
      <c r="J82" s="80"/>
      <c r="K82" s="80"/>
      <c r="L82" s="81"/>
      <c r="M82" s="82"/>
      <c r="N82" s="3"/>
      <c r="O82" s="83"/>
      <c r="P8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2" s="94" t="str">
        <f ca="1">IF(tbl_learners_info[[#This Row],[Date of Birth]]&lt;&gt;0,DATEDIF(tbl_learners_info[[#This Row],[Date of Birth]], TODAY(), "Y"),"")</f>
        <v/>
      </c>
      <c r="S82" s="95" t="str">
        <f>IF(tbl_learners_info[[#This Row],[Name of Previous School]]&lt;&gt;"",IF(tbl_learners_info[[#This Row],[Name of Previous School]]="EAST GUSA NATIONAL HIGH SCHOOL","NO","YES"),"")</f>
        <v/>
      </c>
      <c r="T82" s="96" t="str">
        <f>tbl_learners_info[[#This Row],[Full Name (Spelled Out)]]</f>
        <v/>
      </c>
      <c r="U82" s="71"/>
      <c r="V82" s="71"/>
      <c r="W82" s="71"/>
      <c r="X82" s="71"/>
      <c r="Y82" s="71"/>
      <c r="Z82" s="71"/>
      <c r="AA82" s="71"/>
      <c r="AB82" s="71"/>
      <c r="AC82" s="71"/>
      <c r="AD82" s="71"/>
      <c r="AE82" s="71"/>
      <c r="AF82" s="71"/>
      <c r="AG82" s="71"/>
      <c r="AH82" s="71"/>
      <c r="AI82" s="71"/>
      <c r="AJ82" s="71"/>
      <c r="AK82" s="71"/>
      <c r="AL82" s="71"/>
      <c r="AM82" s="71"/>
      <c r="AN82" s="71"/>
      <c r="AO82" s="96" t="str">
        <f>tbl_learners_info[[#This Row],[Last Name, First Name, Middle Initial ]]</f>
        <v/>
      </c>
      <c r="AP82" s="71"/>
      <c r="AQ82" s="71"/>
      <c r="AR82" s="71"/>
      <c r="AS82" s="71"/>
      <c r="AT82" s="71"/>
      <c r="AU82" s="71"/>
      <c r="AV82" s="71"/>
      <c r="AW82" s="71"/>
      <c r="AX82" s="71"/>
      <c r="AY82" s="71"/>
      <c r="AZ82" s="71"/>
      <c r="BA82" s="71"/>
      <c r="BB82" s="71"/>
      <c r="BC82" s="71"/>
      <c r="BD82" s="71"/>
      <c r="BE82" s="71"/>
      <c r="BF82" s="71"/>
      <c r="BG82" s="71"/>
      <c r="BH82" s="71"/>
      <c r="BI82" s="71"/>
      <c r="BJ82" s="96" t="str">
        <f>tbl_learners_info[[#This Row],[Last Name, First Name, Middle Initial ]]</f>
        <v/>
      </c>
      <c r="BK82" s="71"/>
      <c r="BL82" s="71"/>
      <c r="BM82" s="71"/>
      <c r="BN82" s="71"/>
      <c r="BO82" s="71"/>
      <c r="BP82" s="71"/>
      <c r="BQ82" s="71"/>
      <c r="BR82" s="71"/>
      <c r="BS82" s="71"/>
      <c r="BT82" s="71"/>
      <c r="BU82" s="71"/>
    </row>
    <row r="83" spans="3:73" ht="19.95" customHeight="1" x14ac:dyDescent="0.3">
      <c r="C83" s="80"/>
      <c r="D83" s="80"/>
      <c r="E83" s="80"/>
      <c r="F83" s="80"/>
      <c r="G83" s="80"/>
      <c r="H83" s="80"/>
      <c r="I83" s="6"/>
      <c r="J83" s="80"/>
      <c r="K83" s="80"/>
      <c r="L83" s="81"/>
      <c r="M83" s="82"/>
      <c r="N83" s="3"/>
      <c r="O83" s="83"/>
      <c r="P8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3" s="94" t="str">
        <f ca="1">IF(tbl_learners_info[[#This Row],[Date of Birth]]&lt;&gt;0,DATEDIF(tbl_learners_info[[#This Row],[Date of Birth]], TODAY(), "Y"),"")</f>
        <v/>
      </c>
      <c r="S83" s="95" t="str">
        <f>IF(tbl_learners_info[[#This Row],[Name of Previous School]]&lt;&gt;"",IF(tbl_learners_info[[#This Row],[Name of Previous School]]="EAST GUSA NATIONAL HIGH SCHOOL","NO","YES"),"")</f>
        <v/>
      </c>
      <c r="T83" s="96" t="str">
        <f>tbl_learners_info[[#This Row],[Full Name (Spelled Out)]]</f>
        <v/>
      </c>
      <c r="U83" s="71"/>
      <c r="V83" s="71"/>
      <c r="W83" s="71"/>
      <c r="X83" s="71"/>
      <c r="Y83" s="71"/>
      <c r="Z83" s="71"/>
      <c r="AA83" s="71"/>
      <c r="AB83" s="71"/>
      <c r="AC83" s="71"/>
      <c r="AD83" s="71"/>
      <c r="AE83" s="71"/>
      <c r="AF83" s="71"/>
      <c r="AG83" s="71"/>
      <c r="AH83" s="71"/>
      <c r="AI83" s="71"/>
      <c r="AJ83" s="71"/>
      <c r="AK83" s="71"/>
      <c r="AL83" s="71"/>
      <c r="AM83" s="71"/>
      <c r="AN83" s="71"/>
      <c r="AO83" s="96" t="str">
        <f>tbl_learners_info[[#This Row],[Last Name, First Name, Middle Initial ]]</f>
        <v/>
      </c>
      <c r="AP83" s="71"/>
      <c r="AQ83" s="71"/>
      <c r="AR83" s="71"/>
      <c r="AS83" s="71"/>
      <c r="AT83" s="71"/>
      <c r="AU83" s="71"/>
      <c r="AV83" s="71"/>
      <c r="AW83" s="71"/>
      <c r="AX83" s="71"/>
      <c r="AY83" s="71"/>
      <c r="AZ83" s="71"/>
      <c r="BA83" s="71"/>
      <c r="BB83" s="71"/>
      <c r="BC83" s="71"/>
      <c r="BD83" s="71"/>
      <c r="BE83" s="71"/>
      <c r="BF83" s="71"/>
      <c r="BG83" s="71"/>
      <c r="BH83" s="71"/>
      <c r="BI83" s="71"/>
      <c r="BJ83" s="96" t="str">
        <f>tbl_learners_info[[#This Row],[Last Name, First Name, Middle Initial ]]</f>
        <v/>
      </c>
      <c r="BK83" s="71"/>
      <c r="BL83" s="71"/>
      <c r="BM83" s="71"/>
      <c r="BN83" s="71"/>
      <c r="BO83" s="71"/>
      <c r="BP83" s="71"/>
      <c r="BQ83" s="71"/>
      <c r="BR83" s="71"/>
      <c r="BS83" s="71"/>
      <c r="BT83" s="71"/>
      <c r="BU83" s="71"/>
    </row>
    <row r="84" spans="3:73" ht="19.95" customHeight="1" x14ac:dyDescent="0.3">
      <c r="C84" s="80"/>
      <c r="D84" s="80"/>
      <c r="E84" s="80"/>
      <c r="F84" s="80"/>
      <c r="G84" s="80"/>
      <c r="H84" s="80"/>
      <c r="I84" s="6"/>
      <c r="J84" s="80"/>
      <c r="K84" s="80"/>
      <c r="L84" s="81"/>
      <c r="M84" s="82"/>
      <c r="N84" s="3"/>
      <c r="O84" s="83"/>
      <c r="P8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4" s="94" t="str">
        <f ca="1">IF(tbl_learners_info[[#This Row],[Date of Birth]]&lt;&gt;0,DATEDIF(tbl_learners_info[[#This Row],[Date of Birth]], TODAY(), "Y"),"")</f>
        <v/>
      </c>
      <c r="S84" s="95" t="str">
        <f>IF(tbl_learners_info[[#This Row],[Name of Previous School]]&lt;&gt;"",IF(tbl_learners_info[[#This Row],[Name of Previous School]]="EAST GUSA NATIONAL HIGH SCHOOL","NO","YES"),"")</f>
        <v/>
      </c>
      <c r="T84" s="96" t="str">
        <f>tbl_learners_info[[#This Row],[Full Name (Spelled Out)]]</f>
        <v/>
      </c>
      <c r="U84" s="71"/>
      <c r="V84" s="71"/>
      <c r="W84" s="71"/>
      <c r="X84" s="71"/>
      <c r="Y84" s="71"/>
      <c r="Z84" s="71"/>
      <c r="AA84" s="71"/>
      <c r="AB84" s="71"/>
      <c r="AC84" s="71"/>
      <c r="AD84" s="71"/>
      <c r="AE84" s="71"/>
      <c r="AF84" s="71"/>
      <c r="AG84" s="71"/>
      <c r="AH84" s="71"/>
      <c r="AI84" s="71"/>
      <c r="AJ84" s="71"/>
      <c r="AK84" s="71"/>
      <c r="AL84" s="71"/>
      <c r="AM84" s="71"/>
      <c r="AN84" s="71"/>
      <c r="AO84" s="96" t="str">
        <f>tbl_learners_info[[#This Row],[Last Name, First Name, Middle Initial ]]</f>
        <v/>
      </c>
      <c r="AP84" s="71"/>
      <c r="AQ84" s="71"/>
      <c r="AR84" s="71"/>
      <c r="AS84" s="71"/>
      <c r="AT84" s="71"/>
      <c r="AU84" s="71"/>
      <c r="AV84" s="71"/>
      <c r="AW84" s="71"/>
      <c r="AX84" s="71"/>
      <c r="AY84" s="71"/>
      <c r="AZ84" s="71"/>
      <c r="BA84" s="71"/>
      <c r="BB84" s="71"/>
      <c r="BC84" s="71"/>
      <c r="BD84" s="71"/>
      <c r="BE84" s="71"/>
      <c r="BF84" s="71"/>
      <c r="BG84" s="71"/>
      <c r="BH84" s="71"/>
      <c r="BI84" s="71"/>
      <c r="BJ84" s="96" t="str">
        <f>tbl_learners_info[[#This Row],[Last Name, First Name, Middle Initial ]]</f>
        <v/>
      </c>
      <c r="BK84" s="71"/>
      <c r="BL84" s="71"/>
      <c r="BM84" s="71"/>
      <c r="BN84" s="71"/>
      <c r="BO84" s="71"/>
      <c r="BP84" s="71"/>
      <c r="BQ84" s="71"/>
      <c r="BR84" s="71"/>
      <c r="BS84" s="71"/>
      <c r="BT84" s="71"/>
      <c r="BU84" s="71"/>
    </row>
    <row r="85" spans="3:73" ht="19.95" customHeight="1" x14ac:dyDescent="0.3">
      <c r="C85" s="80"/>
      <c r="D85" s="80"/>
      <c r="E85" s="80"/>
      <c r="F85" s="80"/>
      <c r="G85" s="80"/>
      <c r="H85" s="80"/>
      <c r="I85" s="6"/>
      <c r="J85" s="80"/>
      <c r="K85" s="80"/>
      <c r="L85" s="81"/>
      <c r="M85" s="82"/>
      <c r="N85" s="3"/>
      <c r="O85" s="83"/>
      <c r="P8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5" s="94" t="str">
        <f ca="1">IF(tbl_learners_info[[#This Row],[Date of Birth]]&lt;&gt;0,DATEDIF(tbl_learners_info[[#This Row],[Date of Birth]], TODAY(), "Y"),"")</f>
        <v/>
      </c>
      <c r="S85" s="95" t="str">
        <f>IF(tbl_learners_info[[#This Row],[Name of Previous School]]&lt;&gt;"",IF(tbl_learners_info[[#This Row],[Name of Previous School]]="EAST GUSA NATIONAL HIGH SCHOOL","NO","YES"),"")</f>
        <v/>
      </c>
      <c r="T85" s="96" t="str">
        <f>tbl_learners_info[[#This Row],[Full Name (Spelled Out)]]</f>
        <v/>
      </c>
      <c r="U85" s="71"/>
      <c r="V85" s="71"/>
      <c r="W85" s="71"/>
      <c r="X85" s="71"/>
      <c r="Y85" s="71"/>
      <c r="Z85" s="71"/>
      <c r="AA85" s="71"/>
      <c r="AB85" s="71"/>
      <c r="AC85" s="71"/>
      <c r="AD85" s="71"/>
      <c r="AE85" s="71"/>
      <c r="AF85" s="71"/>
      <c r="AG85" s="71"/>
      <c r="AH85" s="71"/>
      <c r="AI85" s="71"/>
      <c r="AJ85" s="71"/>
      <c r="AK85" s="71"/>
      <c r="AL85" s="71"/>
      <c r="AM85" s="71"/>
      <c r="AN85" s="71"/>
      <c r="AO85" s="96" t="str">
        <f>tbl_learners_info[[#This Row],[Last Name, First Name, Middle Initial ]]</f>
        <v/>
      </c>
      <c r="AP85" s="71"/>
      <c r="AQ85" s="71"/>
      <c r="AR85" s="71"/>
      <c r="AS85" s="71"/>
      <c r="AT85" s="71"/>
      <c r="AU85" s="71"/>
      <c r="AV85" s="71"/>
      <c r="AW85" s="71"/>
      <c r="AX85" s="71"/>
      <c r="AY85" s="71"/>
      <c r="AZ85" s="71"/>
      <c r="BA85" s="71"/>
      <c r="BB85" s="71"/>
      <c r="BC85" s="71"/>
      <c r="BD85" s="71"/>
      <c r="BE85" s="71"/>
      <c r="BF85" s="71"/>
      <c r="BG85" s="71"/>
      <c r="BH85" s="71"/>
      <c r="BI85" s="71"/>
      <c r="BJ85" s="96" t="str">
        <f>tbl_learners_info[[#This Row],[Last Name, First Name, Middle Initial ]]</f>
        <v/>
      </c>
      <c r="BK85" s="71"/>
      <c r="BL85" s="71"/>
      <c r="BM85" s="71"/>
      <c r="BN85" s="71"/>
      <c r="BO85" s="71"/>
      <c r="BP85" s="71"/>
      <c r="BQ85" s="71"/>
      <c r="BR85" s="71"/>
      <c r="BS85" s="71"/>
      <c r="BT85" s="71"/>
      <c r="BU85" s="71"/>
    </row>
    <row r="86" spans="3:73" ht="19.95" customHeight="1" x14ac:dyDescent="0.3">
      <c r="C86" s="80"/>
      <c r="D86" s="80"/>
      <c r="E86" s="80"/>
      <c r="F86" s="80"/>
      <c r="G86" s="80"/>
      <c r="H86" s="80"/>
      <c r="I86" s="6"/>
      <c r="J86" s="80"/>
      <c r="K86" s="80"/>
      <c r="L86" s="81"/>
      <c r="M86" s="82"/>
      <c r="N86" s="3"/>
      <c r="O86" s="83"/>
      <c r="P8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6" s="94" t="str">
        <f ca="1">IF(tbl_learners_info[[#This Row],[Date of Birth]]&lt;&gt;0,DATEDIF(tbl_learners_info[[#This Row],[Date of Birth]], TODAY(), "Y"),"")</f>
        <v/>
      </c>
      <c r="S86" s="95" t="str">
        <f>IF(tbl_learners_info[[#This Row],[Name of Previous School]]&lt;&gt;"",IF(tbl_learners_info[[#This Row],[Name of Previous School]]="EAST GUSA NATIONAL HIGH SCHOOL","NO","YES"),"")</f>
        <v/>
      </c>
      <c r="T86" s="96" t="str">
        <f>tbl_learners_info[[#This Row],[Full Name (Spelled Out)]]</f>
        <v/>
      </c>
      <c r="U86" s="71"/>
      <c r="V86" s="71"/>
      <c r="W86" s="71"/>
      <c r="X86" s="71"/>
      <c r="Y86" s="71"/>
      <c r="Z86" s="71"/>
      <c r="AA86" s="71"/>
      <c r="AB86" s="71"/>
      <c r="AC86" s="71"/>
      <c r="AD86" s="71"/>
      <c r="AE86" s="71"/>
      <c r="AF86" s="71"/>
      <c r="AG86" s="71"/>
      <c r="AH86" s="71"/>
      <c r="AI86" s="71"/>
      <c r="AJ86" s="71"/>
      <c r="AK86" s="71"/>
      <c r="AL86" s="71"/>
      <c r="AM86" s="71"/>
      <c r="AN86" s="71"/>
      <c r="AO86" s="96" t="str">
        <f>tbl_learners_info[[#This Row],[Last Name, First Name, Middle Initial ]]</f>
        <v/>
      </c>
      <c r="AP86" s="71"/>
      <c r="AQ86" s="71"/>
      <c r="AR86" s="71"/>
      <c r="AS86" s="71"/>
      <c r="AT86" s="71"/>
      <c r="AU86" s="71"/>
      <c r="AV86" s="71"/>
      <c r="AW86" s="71"/>
      <c r="AX86" s="71"/>
      <c r="AY86" s="71"/>
      <c r="AZ86" s="71"/>
      <c r="BA86" s="71"/>
      <c r="BB86" s="71"/>
      <c r="BC86" s="71"/>
      <c r="BD86" s="71"/>
      <c r="BE86" s="71"/>
      <c r="BF86" s="71"/>
      <c r="BG86" s="71"/>
      <c r="BH86" s="71"/>
      <c r="BI86" s="71"/>
      <c r="BJ86" s="96" t="str">
        <f>tbl_learners_info[[#This Row],[Last Name, First Name, Middle Initial ]]</f>
        <v/>
      </c>
      <c r="BK86" s="71"/>
      <c r="BL86" s="71"/>
      <c r="BM86" s="71"/>
      <c r="BN86" s="71"/>
      <c r="BO86" s="71"/>
      <c r="BP86" s="71"/>
      <c r="BQ86" s="71"/>
      <c r="BR86" s="71"/>
      <c r="BS86" s="71"/>
      <c r="BT86" s="71"/>
      <c r="BU86" s="71"/>
    </row>
    <row r="87" spans="3:73" ht="19.95" customHeight="1" x14ac:dyDescent="0.3">
      <c r="C87" s="80"/>
      <c r="D87" s="80"/>
      <c r="E87" s="80"/>
      <c r="F87" s="80"/>
      <c r="G87" s="80"/>
      <c r="H87" s="80"/>
      <c r="I87" s="6"/>
      <c r="J87" s="80"/>
      <c r="K87" s="80"/>
      <c r="L87" s="81"/>
      <c r="M87" s="82"/>
      <c r="N87" s="3"/>
      <c r="O87" s="83"/>
      <c r="P8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7" s="94" t="str">
        <f ca="1">IF(tbl_learners_info[[#This Row],[Date of Birth]]&lt;&gt;0,DATEDIF(tbl_learners_info[[#This Row],[Date of Birth]], TODAY(), "Y"),"")</f>
        <v/>
      </c>
      <c r="S87" s="95" t="str">
        <f>IF(tbl_learners_info[[#This Row],[Name of Previous School]]&lt;&gt;"",IF(tbl_learners_info[[#This Row],[Name of Previous School]]="EAST GUSA NATIONAL HIGH SCHOOL","NO","YES"),"")</f>
        <v/>
      </c>
      <c r="T87" s="96" t="str">
        <f>tbl_learners_info[[#This Row],[Full Name (Spelled Out)]]</f>
        <v/>
      </c>
      <c r="U87" s="71"/>
      <c r="V87" s="71"/>
      <c r="W87" s="71"/>
      <c r="X87" s="71"/>
      <c r="Y87" s="71"/>
      <c r="Z87" s="71"/>
      <c r="AA87" s="71"/>
      <c r="AB87" s="71"/>
      <c r="AC87" s="71"/>
      <c r="AD87" s="71"/>
      <c r="AE87" s="71"/>
      <c r="AF87" s="71"/>
      <c r="AG87" s="71"/>
      <c r="AH87" s="71"/>
      <c r="AI87" s="71"/>
      <c r="AJ87" s="71"/>
      <c r="AK87" s="71"/>
      <c r="AL87" s="71"/>
      <c r="AM87" s="71"/>
      <c r="AN87" s="71"/>
      <c r="AO87" s="96" t="str">
        <f>tbl_learners_info[[#This Row],[Last Name, First Name, Middle Initial ]]</f>
        <v/>
      </c>
      <c r="AP87" s="71"/>
      <c r="AQ87" s="71"/>
      <c r="AR87" s="71"/>
      <c r="AS87" s="71"/>
      <c r="AT87" s="71"/>
      <c r="AU87" s="71"/>
      <c r="AV87" s="71"/>
      <c r="AW87" s="71"/>
      <c r="AX87" s="71"/>
      <c r="AY87" s="71"/>
      <c r="AZ87" s="71"/>
      <c r="BA87" s="71"/>
      <c r="BB87" s="71"/>
      <c r="BC87" s="71"/>
      <c r="BD87" s="71"/>
      <c r="BE87" s="71"/>
      <c r="BF87" s="71"/>
      <c r="BG87" s="71"/>
      <c r="BH87" s="71"/>
      <c r="BI87" s="71"/>
      <c r="BJ87" s="96" t="str">
        <f>tbl_learners_info[[#This Row],[Last Name, First Name, Middle Initial ]]</f>
        <v/>
      </c>
      <c r="BK87" s="71"/>
      <c r="BL87" s="71"/>
      <c r="BM87" s="71"/>
      <c r="BN87" s="71"/>
      <c r="BO87" s="71"/>
      <c r="BP87" s="71"/>
      <c r="BQ87" s="71"/>
      <c r="BR87" s="71"/>
      <c r="BS87" s="71"/>
      <c r="BT87" s="71"/>
      <c r="BU87" s="71"/>
    </row>
    <row r="88" spans="3:73" ht="19.95" customHeight="1" x14ac:dyDescent="0.3">
      <c r="C88" s="80"/>
      <c r="D88" s="80"/>
      <c r="E88" s="80"/>
      <c r="F88" s="80"/>
      <c r="G88" s="80"/>
      <c r="H88" s="80"/>
      <c r="I88" s="6"/>
      <c r="J88" s="80"/>
      <c r="K88" s="80"/>
      <c r="L88" s="81"/>
      <c r="M88" s="82"/>
      <c r="N88" s="3"/>
      <c r="O88" s="83"/>
      <c r="P8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8" s="94" t="str">
        <f ca="1">IF(tbl_learners_info[[#This Row],[Date of Birth]]&lt;&gt;0,DATEDIF(tbl_learners_info[[#This Row],[Date of Birth]], TODAY(), "Y"),"")</f>
        <v/>
      </c>
      <c r="S88" s="95" t="str">
        <f>IF(tbl_learners_info[[#This Row],[Name of Previous School]]&lt;&gt;"",IF(tbl_learners_info[[#This Row],[Name of Previous School]]="EAST GUSA NATIONAL HIGH SCHOOL","NO","YES"),"")</f>
        <v/>
      </c>
      <c r="T88" s="96" t="str">
        <f>tbl_learners_info[[#This Row],[Full Name (Spelled Out)]]</f>
        <v/>
      </c>
      <c r="U88" s="71"/>
      <c r="V88" s="71"/>
      <c r="W88" s="71"/>
      <c r="X88" s="71"/>
      <c r="Y88" s="71"/>
      <c r="Z88" s="71"/>
      <c r="AA88" s="71"/>
      <c r="AB88" s="71"/>
      <c r="AC88" s="71"/>
      <c r="AD88" s="71"/>
      <c r="AE88" s="71"/>
      <c r="AF88" s="71"/>
      <c r="AG88" s="71"/>
      <c r="AH88" s="71"/>
      <c r="AI88" s="71"/>
      <c r="AJ88" s="71"/>
      <c r="AK88" s="71"/>
      <c r="AL88" s="71"/>
      <c r="AM88" s="71"/>
      <c r="AN88" s="71"/>
      <c r="AO88" s="96" t="str">
        <f>tbl_learners_info[[#This Row],[Last Name, First Name, Middle Initial ]]</f>
        <v/>
      </c>
      <c r="AP88" s="71"/>
      <c r="AQ88" s="71"/>
      <c r="AR88" s="71"/>
      <c r="AS88" s="71"/>
      <c r="AT88" s="71"/>
      <c r="AU88" s="71"/>
      <c r="AV88" s="71"/>
      <c r="AW88" s="71"/>
      <c r="AX88" s="71"/>
      <c r="AY88" s="71"/>
      <c r="AZ88" s="71"/>
      <c r="BA88" s="71"/>
      <c r="BB88" s="71"/>
      <c r="BC88" s="71"/>
      <c r="BD88" s="71"/>
      <c r="BE88" s="71"/>
      <c r="BF88" s="71"/>
      <c r="BG88" s="71"/>
      <c r="BH88" s="71"/>
      <c r="BI88" s="71"/>
      <c r="BJ88" s="96" t="str">
        <f>tbl_learners_info[[#This Row],[Last Name, First Name, Middle Initial ]]</f>
        <v/>
      </c>
      <c r="BK88" s="71"/>
      <c r="BL88" s="71"/>
      <c r="BM88" s="71"/>
      <c r="BN88" s="71"/>
      <c r="BO88" s="71"/>
      <c r="BP88" s="71"/>
      <c r="BQ88" s="71"/>
      <c r="BR88" s="71"/>
      <c r="BS88" s="71"/>
      <c r="BT88" s="71"/>
      <c r="BU88" s="71"/>
    </row>
    <row r="89" spans="3:73" ht="19.95" customHeight="1" x14ac:dyDescent="0.3">
      <c r="C89" s="80"/>
      <c r="D89" s="80"/>
      <c r="E89" s="80"/>
      <c r="F89" s="80"/>
      <c r="G89" s="80"/>
      <c r="H89" s="80"/>
      <c r="I89" s="6"/>
      <c r="J89" s="80"/>
      <c r="K89" s="80"/>
      <c r="L89" s="81"/>
      <c r="M89" s="82"/>
      <c r="N89" s="3"/>
      <c r="O89" s="83"/>
      <c r="P8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9" s="94" t="str">
        <f ca="1">IF(tbl_learners_info[[#This Row],[Date of Birth]]&lt;&gt;0,DATEDIF(tbl_learners_info[[#This Row],[Date of Birth]], TODAY(), "Y"),"")</f>
        <v/>
      </c>
      <c r="S89" s="95" t="str">
        <f>IF(tbl_learners_info[[#This Row],[Name of Previous School]]&lt;&gt;"",IF(tbl_learners_info[[#This Row],[Name of Previous School]]="EAST GUSA NATIONAL HIGH SCHOOL","NO","YES"),"")</f>
        <v/>
      </c>
      <c r="T89" s="96" t="str">
        <f>tbl_learners_info[[#This Row],[Full Name (Spelled Out)]]</f>
        <v/>
      </c>
      <c r="U89" s="71"/>
      <c r="V89" s="71"/>
      <c r="W89" s="71"/>
      <c r="X89" s="71"/>
      <c r="Y89" s="71"/>
      <c r="Z89" s="71"/>
      <c r="AA89" s="71"/>
      <c r="AB89" s="71"/>
      <c r="AC89" s="71"/>
      <c r="AD89" s="71"/>
      <c r="AE89" s="71"/>
      <c r="AF89" s="71"/>
      <c r="AG89" s="71"/>
      <c r="AH89" s="71"/>
      <c r="AI89" s="71"/>
      <c r="AJ89" s="71"/>
      <c r="AK89" s="71"/>
      <c r="AL89" s="71"/>
      <c r="AM89" s="71"/>
      <c r="AN89" s="71"/>
      <c r="AO89" s="96" t="str">
        <f>tbl_learners_info[[#This Row],[Last Name, First Name, Middle Initial ]]</f>
        <v/>
      </c>
      <c r="AP89" s="71"/>
      <c r="AQ89" s="71"/>
      <c r="AR89" s="71"/>
      <c r="AS89" s="71"/>
      <c r="AT89" s="71"/>
      <c r="AU89" s="71"/>
      <c r="AV89" s="71"/>
      <c r="AW89" s="71"/>
      <c r="AX89" s="71"/>
      <c r="AY89" s="71"/>
      <c r="AZ89" s="71"/>
      <c r="BA89" s="71"/>
      <c r="BB89" s="71"/>
      <c r="BC89" s="71"/>
      <c r="BD89" s="71"/>
      <c r="BE89" s="71"/>
      <c r="BF89" s="71"/>
      <c r="BG89" s="71"/>
      <c r="BH89" s="71"/>
      <c r="BI89" s="71"/>
      <c r="BJ89" s="96" t="str">
        <f>tbl_learners_info[[#This Row],[Last Name, First Name, Middle Initial ]]</f>
        <v/>
      </c>
      <c r="BK89" s="71"/>
      <c r="BL89" s="71"/>
      <c r="BM89" s="71"/>
      <c r="BN89" s="71"/>
      <c r="BO89" s="71"/>
      <c r="BP89" s="71"/>
      <c r="BQ89" s="71"/>
      <c r="BR89" s="71"/>
      <c r="BS89" s="71"/>
      <c r="BT89" s="71"/>
      <c r="BU89" s="71"/>
    </row>
    <row r="90" spans="3:73" ht="19.95" customHeight="1" x14ac:dyDescent="0.3">
      <c r="C90" s="80"/>
      <c r="D90" s="80"/>
      <c r="E90" s="80"/>
      <c r="F90" s="80"/>
      <c r="G90" s="80"/>
      <c r="H90" s="80"/>
      <c r="I90" s="6"/>
      <c r="J90" s="80"/>
      <c r="K90" s="80"/>
      <c r="L90" s="81"/>
      <c r="M90" s="82"/>
      <c r="N90" s="3"/>
      <c r="O90" s="83"/>
      <c r="P9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0" s="94" t="str">
        <f ca="1">IF(tbl_learners_info[[#This Row],[Date of Birth]]&lt;&gt;0,DATEDIF(tbl_learners_info[[#This Row],[Date of Birth]], TODAY(), "Y"),"")</f>
        <v/>
      </c>
      <c r="S90" s="95" t="str">
        <f>IF(tbl_learners_info[[#This Row],[Name of Previous School]]&lt;&gt;"",IF(tbl_learners_info[[#This Row],[Name of Previous School]]="EAST GUSA NATIONAL HIGH SCHOOL","NO","YES"),"")</f>
        <v/>
      </c>
      <c r="T90" s="96" t="str">
        <f>tbl_learners_info[[#This Row],[Full Name (Spelled Out)]]</f>
        <v/>
      </c>
      <c r="U90" s="71"/>
      <c r="V90" s="71"/>
      <c r="W90" s="71"/>
      <c r="X90" s="71"/>
      <c r="Y90" s="71"/>
      <c r="Z90" s="71"/>
      <c r="AA90" s="71"/>
      <c r="AB90" s="71"/>
      <c r="AC90" s="71"/>
      <c r="AD90" s="71"/>
      <c r="AE90" s="71"/>
      <c r="AF90" s="71"/>
      <c r="AG90" s="71"/>
      <c r="AH90" s="71"/>
      <c r="AI90" s="71"/>
      <c r="AJ90" s="71"/>
      <c r="AK90" s="71"/>
      <c r="AL90" s="71"/>
      <c r="AM90" s="71"/>
      <c r="AN90" s="71"/>
      <c r="AO90" s="96" t="str">
        <f>tbl_learners_info[[#This Row],[Last Name, First Name, Middle Initial ]]</f>
        <v/>
      </c>
      <c r="AP90" s="71"/>
      <c r="AQ90" s="71"/>
      <c r="AR90" s="71"/>
      <c r="AS90" s="71"/>
      <c r="AT90" s="71"/>
      <c r="AU90" s="71"/>
      <c r="AV90" s="71"/>
      <c r="AW90" s="71"/>
      <c r="AX90" s="71"/>
      <c r="AY90" s="71"/>
      <c r="AZ90" s="71"/>
      <c r="BA90" s="71"/>
      <c r="BB90" s="71"/>
      <c r="BC90" s="71"/>
      <c r="BD90" s="71"/>
      <c r="BE90" s="71"/>
      <c r="BF90" s="71"/>
      <c r="BG90" s="71"/>
      <c r="BH90" s="71"/>
      <c r="BI90" s="71"/>
      <c r="BJ90" s="96" t="str">
        <f>tbl_learners_info[[#This Row],[Last Name, First Name, Middle Initial ]]</f>
        <v/>
      </c>
      <c r="BK90" s="71"/>
      <c r="BL90" s="71"/>
      <c r="BM90" s="71"/>
      <c r="BN90" s="71"/>
      <c r="BO90" s="71"/>
      <c r="BP90" s="71"/>
      <c r="BQ90" s="71"/>
      <c r="BR90" s="71"/>
      <c r="BS90" s="71"/>
      <c r="BT90" s="71"/>
      <c r="BU90" s="71"/>
    </row>
    <row r="91" spans="3:73" ht="19.95" customHeight="1" x14ac:dyDescent="0.3">
      <c r="C91" s="80"/>
      <c r="D91" s="80"/>
      <c r="E91" s="80"/>
      <c r="F91" s="80"/>
      <c r="G91" s="80"/>
      <c r="H91" s="80"/>
      <c r="I91" s="6"/>
      <c r="J91" s="80"/>
      <c r="K91" s="80"/>
      <c r="L91" s="81"/>
      <c r="M91" s="82"/>
      <c r="N91" s="3"/>
      <c r="O91" s="83"/>
      <c r="P9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1" s="94" t="str">
        <f ca="1">IF(tbl_learners_info[[#This Row],[Date of Birth]]&lt;&gt;0,DATEDIF(tbl_learners_info[[#This Row],[Date of Birth]], TODAY(), "Y"),"")</f>
        <v/>
      </c>
      <c r="S91" s="95" t="str">
        <f>IF(tbl_learners_info[[#This Row],[Name of Previous School]]&lt;&gt;"",IF(tbl_learners_info[[#This Row],[Name of Previous School]]="EAST GUSA NATIONAL HIGH SCHOOL","NO","YES"),"")</f>
        <v/>
      </c>
      <c r="T91" s="96" t="str">
        <f>tbl_learners_info[[#This Row],[Full Name (Spelled Out)]]</f>
        <v/>
      </c>
      <c r="U91" s="71"/>
      <c r="V91" s="71"/>
      <c r="W91" s="71"/>
      <c r="X91" s="71"/>
      <c r="Y91" s="71"/>
      <c r="Z91" s="71"/>
      <c r="AA91" s="71"/>
      <c r="AB91" s="71"/>
      <c r="AC91" s="71"/>
      <c r="AD91" s="71"/>
      <c r="AE91" s="71"/>
      <c r="AF91" s="71"/>
      <c r="AG91" s="71"/>
      <c r="AH91" s="71"/>
      <c r="AI91" s="71"/>
      <c r="AJ91" s="71"/>
      <c r="AK91" s="71"/>
      <c r="AL91" s="71"/>
      <c r="AM91" s="71"/>
      <c r="AN91" s="71"/>
      <c r="AO91" s="96" t="str">
        <f>tbl_learners_info[[#This Row],[Last Name, First Name, Middle Initial ]]</f>
        <v/>
      </c>
      <c r="AP91" s="71"/>
      <c r="AQ91" s="71"/>
      <c r="AR91" s="71"/>
      <c r="AS91" s="71"/>
      <c r="AT91" s="71"/>
      <c r="AU91" s="71"/>
      <c r="AV91" s="71"/>
      <c r="AW91" s="71"/>
      <c r="AX91" s="71"/>
      <c r="AY91" s="71"/>
      <c r="AZ91" s="71"/>
      <c r="BA91" s="71"/>
      <c r="BB91" s="71"/>
      <c r="BC91" s="71"/>
      <c r="BD91" s="71"/>
      <c r="BE91" s="71"/>
      <c r="BF91" s="71"/>
      <c r="BG91" s="71"/>
      <c r="BH91" s="71"/>
      <c r="BI91" s="71"/>
      <c r="BJ91" s="96" t="str">
        <f>tbl_learners_info[[#This Row],[Last Name, First Name, Middle Initial ]]</f>
        <v/>
      </c>
      <c r="BK91" s="71"/>
      <c r="BL91" s="71"/>
      <c r="BM91" s="71"/>
      <c r="BN91" s="71"/>
      <c r="BO91" s="71"/>
      <c r="BP91" s="71"/>
      <c r="BQ91" s="71"/>
      <c r="BR91" s="71"/>
      <c r="BS91" s="71"/>
      <c r="BT91" s="71"/>
      <c r="BU91" s="71"/>
    </row>
    <row r="92" spans="3:73" ht="19.95" customHeight="1" x14ac:dyDescent="0.3">
      <c r="C92" s="80"/>
      <c r="D92" s="80"/>
      <c r="E92" s="80"/>
      <c r="F92" s="80"/>
      <c r="G92" s="80"/>
      <c r="H92" s="80"/>
      <c r="I92" s="6"/>
      <c r="J92" s="80"/>
      <c r="K92" s="80"/>
      <c r="L92" s="81"/>
      <c r="M92" s="82"/>
      <c r="N92" s="3"/>
      <c r="O92" s="83"/>
      <c r="P9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2" s="94" t="str">
        <f ca="1">IF(tbl_learners_info[[#This Row],[Date of Birth]]&lt;&gt;0,DATEDIF(tbl_learners_info[[#This Row],[Date of Birth]], TODAY(), "Y"),"")</f>
        <v/>
      </c>
      <c r="S92" s="95" t="str">
        <f>IF(tbl_learners_info[[#This Row],[Name of Previous School]]&lt;&gt;"",IF(tbl_learners_info[[#This Row],[Name of Previous School]]="EAST GUSA NATIONAL HIGH SCHOOL","NO","YES"),"")</f>
        <v/>
      </c>
      <c r="T92" s="96" t="str">
        <f>tbl_learners_info[[#This Row],[Full Name (Spelled Out)]]</f>
        <v/>
      </c>
      <c r="U92" s="71"/>
      <c r="V92" s="71"/>
      <c r="W92" s="71"/>
      <c r="X92" s="71"/>
      <c r="Y92" s="71"/>
      <c r="Z92" s="71"/>
      <c r="AA92" s="71"/>
      <c r="AB92" s="71"/>
      <c r="AC92" s="71"/>
      <c r="AD92" s="71"/>
      <c r="AE92" s="71"/>
      <c r="AF92" s="71"/>
      <c r="AG92" s="71"/>
      <c r="AH92" s="71"/>
      <c r="AI92" s="71"/>
      <c r="AJ92" s="71"/>
      <c r="AK92" s="71"/>
      <c r="AL92" s="71"/>
      <c r="AM92" s="71"/>
      <c r="AN92" s="71"/>
      <c r="AO92" s="96" t="str">
        <f>tbl_learners_info[[#This Row],[Last Name, First Name, Middle Initial ]]</f>
        <v/>
      </c>
      <c r="AP92" s="71"/>
      <c r="AQ92" s="71"/>
      <c r="AR92" s="71"/>
      <c r="AS92" s="71"/>
      <c r="AT92" s="71"/>
      <c r="AU92" s="71"/>
      <c r="AV92" s="71"/>
      <c r="AW92" s="71"/>
      <c r="AX92" s="71"/>
      <c r="AY92" s="71"/>
      <c r="AZ92" s="71"/>
      <c r="BA92" s="71"/>
      <c r="BB92" s="71"/>
      <c r="BC92" s="71"/>
      <c r="BD92" s="71"/>
      <c r="BE92" s="71"/>
      <c r="BF92" s="71"/>
      <c r="BG92" s="71"/>
      <c r="BH92" s="71"/>
      <c r="BI92" s="71"/>
      <c r="BJ92" s="96" t="str">
        <f>tbl_learners_info[[#This Row],[Last Name, First Name, Middle Initial ]]</f>
        <v/>
      </c>
      <c r="BK92" s="71"/>
      <c r="BL92" s="71"/>
      <c r="BM92" s="71"/>
      <c r="BN92" s="71"/>
      <c r="BO92" s="71"/>
      <c r="BP92" s="71"/>
      <c r="BQ92" s="71"/>
      <c r="BR92" s="71"/>
      <c r="BS92" s="71"/>
      <c r="BT92" s="71"/>
      <c r="BU92" s="71"/>
    </row>
    <row r="93" spans="3:73" ht="19.95" customHeight="1" x14ac:dyDescent="0.3">
      <c r="C93" s="80"/>
      <c r="D93" s="80"/>
      <c r="E93" s="80"/>
      <c r="F93" s="80"/>
      <c r="G93" s="80"/>
      <c r="H93" s="80"/>
      <c r="I93" s="6"/>
      <c r="J93" s="80"/>
      <c r="K93" s="80"/>
      <c r="L93" s="81"/>
      <c r="M93" s="82"/>
      <c r="N93" s="3"/>
      <c r="O93" s="83"/>
      <c r="P9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3" s="94" t="str">
        <f ca="1">IF(tbl_learners_info[[#This Row],[Date of Birth]]&lt;&gt;0,DATEDIF(tbl_learners_info[[#This Row],[Date of Birth]], TODAY(), "Y"),"")</f>
        <v/>
      </c>
      <c r="S93" s="95" t="str">
        <f>IF(tbl_learners_info[[#This Row],[Name of Previous School]]&lt;&gt;"",IF(tbl_learners_info[[#This Row],[Name of Previous School]]="EAST GUSA NATIONAL HIGH SCHOOL","NO","YES"),"")</f>
        <v/>
      </c>
      <c r="T93" s="96" t="str">
        <f>tbl_learners_info[[#This Row],[Full Name (Spelled Out)]]</f>
        <v/>
      </c>
      <c r="U93" s="71"/>
      <c r="V93" s="71"/>
      <c r="W93" s="71"/>
      <c r="X93" s="71"/>
      <c r="Y93" s="71"/>
      <c r="Z93" s="71"/>
      <c r="AA93" s="71"/>
      <c r="AB93" s="71"/>
      <c r="AC93" s="71"/>
      <c r="AD93" s="71"/>
      <c r="AE93" s="71"/>
      <c r="AF93" s="71"/>
      <c r="AG93" s="71"/>
      <c r="AH93" s="71"/>
      <c r="AI93" s="71"/>
      <c r="AJ93" s="71"/>
      <c r="AK93" s="71"/>
      <c r="AL93" s="71"/>
      <c r="AM93" s="71"/>
      <c r="AN93" s="71"/>
      <c r="AO93" s="96" t="str">
        <f>tbl_learners_info[[#This Row],[Last Name, First Name, Middle Initial ]]</f>
        <v/>
      </c>
      <c r="AP93" s="71"/>
      <c r="AQ93" s="71"/>
      <c r="AR93" s="71"/>
      <c r="AS93" s="71"/>
      <c r="AT93" s="71"/>
      <c r="AU93" s="71"/>
      <c r="AV93" s="71"/>
      <c r="AW93" s="71"/>
      <c r="AX93" s="71"/>
      <c r="AY93" s="71"/>
      <c r="AZ93" s="71"/>
      <c r="BA93" s="71"/>
      <c r="BB93" s="71"/>
      <c r="BC93" s="71"/>
      <c r="BD93" s="71"/>
      <c r="BE93" s="71"/>
      <c r="BF93" s="71"/>
      <c r="BG93" s="71"/>
      <c r="BH93" s="71"/>
      <c r="BI93" s="71"/>
      <c r="BJ93" s="96" t="str">
        <f>tbl_learners_info[[#This Row],[Last Name, First Name, Middle Initial ]]</f>
        <v/>
      </c>
      <c r="BK93" s="71"/>
      <c r="BL93" s="71"/>
      <c r="BM93" s="71"/>
      <c r="BN93" s="71"/>
      <c r="BO93" s="71"/>
      <c r="BP93" s="71"/>
      <c r="BQ93" s="71"/>
      <c r="BR93" s="71"/>
      <c r="BS93" s="71"/>
      <c r="BT93" s="71"/>
      <c r="BU93" s="71"/>
    </row>
    <row r="94" spans="3:73" ht="19.95" customHeight="1" x14ac:dyDescent="0.3">
      <c r="C94" s="80"/>
      <c r="D94" s="80"/>
      <c r="E94" s="80"/>
      <c r="F94" s="80"/>
      <c r="G94" s="80"/>
      <c r="H94" s="80"/>
      <c r="I94" s="6"/>
      <c r="J94" s="80"/>
      <c r="K94" s="80"/>
      <c r="L94" s="81"/>
      <c r="M94" s="82"/>
      <c r="N94" s="3"/>
      <c r="O94" s="83"/>
      <c r="P9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4" s="94" t="str">
        <f ca="1">IF(tbl_learners_info[[#This Row],[Date of Birth]]&lt;&gt;0,DATEDIF(tbl_learners_info[[#This Row],[Date of Birth]], TODAY(), "Y"),"")</f>
        <v/>
      </c>
      <c r="S94" s="95" t="str">
        <f>IF(tbl_learners_info[[#This Row],[Name of Previous School]]&lt;&gt;"",IF(tbl_learners_info[[#This Row],[Name of Previous School]]="EAST GUSA NATIONAL HIGH SCHOOL","NO","YES"),"")</f>
        <v/>
      </c>
      <c r="T94" s="96" t="str">
        <f>tbl_learners_info[[#This Row],[Full Name (Spelled Out)]]</f>
        <v/>
      </c>
      <c r="U94" s="71"/>
      <c r="V94" s="71"/>
      <c r="W94" s="71"/>
      <c r="X94" s="71"/>
      <c r="Y94" s="71"/>
      <c r="Z94" s="71"/>
      <c r="AA94" s="71"/>
      <c r="AB94" s="71"/>
      <c r="AC94" s="71"/>
      <c r="AD94" s="71"/>
      <c r="AE94" s="71"/>
      <c r="AF94" s="71"/>
      <c r="AG94" s="71"/>
      <c r="AH94" s="71"/>
      <c r="AI94" s="71"/>
      <c r="AJ94" s="71"/>
      <c r="AK94" s="71"/>
      <c r="AL94" s="71"/>
      <c r="AM94" s="71"/>
      <c r="AN94" s="71"/>
      <c r="AO94" s="96" t="str">
        <f>tbl_learners_info[[#This Row],[Last Name, First Name, Middle Initial ]]</f>
        <v/>
      </c>
      <c r="AP94" s="71"/>
      <c r="AQ94" s="71"/>
      <c r="AR94" s="71"/>
      <c r="AS94" s="71"/>
      <c r="AT94" s="71"/>
      <c r="AU94" s="71"/>
      <c r="AV94" s="71"/>
      <c r="AW94" s="71"/>
      <c r="AX94" s="71"/>
      <c r="AY94" s="71"/>
      <c r="AZ94" s="71"/>
      <c r="BA94" s="71"/>
      <c r="BB94" s="71"/>
      <c r="BC94" s="71"/>
      <c r="BD94" s="71"/>
      <c r="BE94" s="71"/>
      <c r="BF94" s="71"/>
      <c r="BG94" s="71"/>
      <c r="BH94" s="71"/>
      <c r="BI94" s="71"/>
      <c r="BJ94" s="96" t="str">
        <f>tbl_learners_info[[#This Row],[Last Name, First Name, Middle Initial ]]</f>
        <v/>
      </c>
      <c r="BK94" s="71"/>
      <c r="BL94" s="71"/>
      <c r="BM94" s="71"/>
      <c r="BN94" s="71"/>
      <c r="BO94" s="71"/>
      <c r="BP94" s="71"/>
      <c r="BQ94" s="71"/>
      <c r="BR94" s="71"/>
      <c r="BS94" s="71"/>
      <c r="BT94" s="71"/>
      <c r="BU94" s="71"/>
    </row>
    <row r="95" spans="3:73" ht="19.95" customHeight="1" x14ac:dyDescent="0.3">
      <c r="C95" s="80"/>
      <c r="D95" s="80"/>
      <c r="E95" s="80"/>
      <c r="F95" s="80"/>
      <c r="G95" s="80"/>
      <c r="H95" s="80"/>
      <c r="I95" s="6"/>
      <c r="J95" s="80"/>
      <c r="K95" s="80"/>
      <c r="L95" s="81"/>
      <c r="M95" s="82"/>
      <c r="N95" s="3"/>
      <c r="O95" s="83"/>
      <c r="P9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5" s="94" t="str">
        <f ca="1">IF(tbl_learners_info[[#This Row],[Date of Birth]]&lt;&gt;0,DATEDIF(tbl_learners_info[[#This Row],[Date of Birth]], TODAY(), "Y"),"")</f>
        <v/>
      </c>
      <c r="S95" s="95" t="str">
        <f>IF(tbl_learners_info[[#This Row],[Name of Previous School]]&lt;&gt;"",IF(tbl_learners_info[[#This Row],[Name of Previous School]]="EAST GUSA NATIONAL HIGH SCHOOL","NO","YES"),"")</f>
        <v/>
      </c>
      <c r="T95" s="96" t="str">
        <f>tbl_learners_info[[#This Row],[Full Name (Spelled Out)]]</f>
        <v/>
      </c>
      <c r="U95" s="71"/>
      <c r="V95" s="71"/>
      <c r="W95" s="71"/>
      <c r="X95" s="71"/>
      <c r="Y95" s="71"/>
      <c r="Z95" s="71"/>
      <c r="AA95" s="71"/>
      <c r="AB95" s="71"/>
      <c r="AC95" s="71"/>
      <c r="AD95" s="71"/>
      <c r="AE95" s="71"/>
      <c r="AF95" s="71"/>
      <c r="AG95" s="71"/>
      <c r="AH95" s="71"/>
      <c r="AI95" s="71"/>
      <c r="AJ95" s="71"/>
      <c r="AK95" s="71"/>
      <c r="AL95" s="71"/>
      <c r="AM95" s="71"/>
      <c r="AN95" s="71"/>
      <c r="AO95" s="96" t="str">
        <f>tbl_learners_info[[#This Row],[Last Name, First Name, Middle Initial ]]</f>
        <v/>
      </c>
      <c r="AP95" s="71"/>
      <c r="AQ95" s="71"/>
      <c r="AR95" s="71"/>
      <c r="AS95" s="71"/>
      <c r="AT95" s="71"/>
      <c r="AU95" s="71"/>
      <c r="AV95" s="71"/>
      <c r="AW95" s="71"/>
      <c r="AX95" s="71"/>
      <c r="AY95" s="71"/>
      <c r="AZ95" s="71"/>
      <c r="BA95" s="71"/>
      <c r="BB95" s="71"/>
      <c r="BC95" s="71"/>
      <c r="BD95" s="71"/>
      <c r="BE95" s="71"/>
      <c r="BF95" s="71"/>
      <c r="BG95" s="71"/>
      <c r="BH95" s="71"/>
      <c r="BI95" s="71"/>
      <c r="BJ95" s="96" t="str">
        <f>tbl_learners_info[[#This Row],[Last Name, First Name, Middle Initial ]]</f>
        <v/>
      </c>
      <c r="BK95" s="71"/>
      <c r="BL95" s="71"/>
      <c r="BM95" s="71"/>
      <c r="BN95" s="71"/>
      <c r="BO95" s="71"/>
      <c r="BP95" s="71"/>
      <c r="BQ95" s="71"/>
      <c r="BR95" s="71"/>
      <c r="BS95" s="71"/>
      <c r="BT95" s="71"/>
      <c r="BU95" s="71"/>
    </row>
    <row r="96" spans="3:73" ht="19.95" customHeight="1" x14ac:dyDescent="0.3">
      <c r="C96" s="80"/>
      <c r="D96" s="80"/>
      <c r="E96" s="80"/>
      <c r="F96" s="80"/>
      <c r="G96" s="80"/>
      <c r="H96" s="80"/>
      <c r="I96" s="6"/>
      <c r="J96" s="80"/>
      <c r="K96" s="80"/>
      <c r="L96" s="81"/>
      <c r="M96" s="82"/>
      <c r="N96" s="3"/>
      <c r="O96" s="83"/>
      <c r="P9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6" s="94" t="str">
        <f ca="1">IF(tbl_learners_info[[#This Row],[Date of Birth]]&lt;&gt;0,DATEDIF(tbl_learners_info[[#This Row],[Date of Birth]], TODAY(), "Y"),"")</f>
        <v/>
      </c>
      <c r="S96" s="95" t="str">
        <f>IF(tbl_learners_info[[#This Row],[Name of Previous School]]&lt;&gt;"",IF(tbl_learners_info[[#This Row],[Name of Previous School]]="EAST GUSA NATIONAL HIGH SCHOOL","NO","YES"),"")</f>
        <v/>
      </c>
      <c r="T96" s="96" t="str">
        <f>tbl_learners_info[[#This Row],[Full Name (Spelled Out)]]</f>
        <v/>
      </c>
      <c r="U96" s="71"/>
      <c r="V96" s="71"/>
      <c r="W96" s="71"/>
      <c r="X96" s="71"/>
      <c r="Y96" s="71"/>
      <c r="Z96" s="71"/>
      <c r="AA96" s="71"/>
      <c r="AB96" s="71"/>
      <c r="AC96" s="71"/>
      <c r="AD96" s="71"/>
      <c r="AE96" s="71"/>
      <c r="AF96" s="71"/>
      <c r="AG96" s="71"/>
      <c r="AH96" s="71"/>
      <c r="AI96" s="71"/>
      <c r="AJ96" s="71"/>
      <c r="AK96" s="71"/>
      <c r="AL96" s="71"/>
      <c r="AM96" s="71"/>
      <c r="AN96" s="71"/>
      <c r="AO96" s="96" t="str">
        <f>tbl_learners_info[[#This Row],[Last Name, First Name, Middle Initial ]]</f>
        <v/>
      </c>
      <c r="AP96" s="71"/>
      <c r="AQ96" s="71"/>
      <c r="AR96" s="71"/>
      <c r="AS96" s="71"/>
      <c r="AT96" s="71"/>
      <c r="AU96" s="71"/>
      <c r="AV96" s="71"/>
      <c r="AW96" s="71"/>
      <c r="AX96" s="71"/>
      <c r="AY96" s="71"/>
      <c r="AZ96" s="71"/>
      <c r="BA96" s="71"/>
      <c r="BB96" s="71"/>
      <c r="BC96" s="71"/>
      <c r="BD96" s="71"/>
      <c r="BE96" s="71"/>
      <c r="BF96" s="71"/>
      <c r="BG96" s="71"/>
      <c r="BH96" s="71"/>
      <c r="BI96" s="71"/>
      <c r="BJ96" s="96" t="str">
        <f>tbl_learners_info[[#This Row],[Last Name, First Name, Middle Initial ]]</f>
        <v/>
      </c>
      <c r="BK96" s="71"/>
      <c r="BL96" s="71"/>
      <c r="BM96" s="71"/>
      <c r="BN96" s="71"/>
      <c r="BO96" s="71"/>
      <c r="BP96" s="71"/>
      <c r="BQ96" s="71"/>
      <c r="BR96" s="71"/>
      <c r="BS96" s="71"/>
      <c r="BT96" s="71"/>
      <c r="BU96" s="71"/>
    </row>
    <row r="97" spans="3:73" ht="19.95" customHeight="1" x14ac:dyDescent="0.3">
      <c r="C97" s="80"/>
      <c r="D97" s="80"/>
      <c r="E97" s="80"/>
      <c r="F97" s="80"/>
      <c r="G97" s="80"/>
      <c r="H97" s="80"/>
      <c r="I97" s="6"/>
      <c r="J97" s="80"/>
      <c r="K97" s="80"/>
      <c r="L97" s="81"/>
      <c r="M97" s="82"/>
      <c r="N97" s="3"/>
      <c r="O97" s="83"/>
      <c r="P9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7" s="94" t="str">
        <f ca="1">IF(tbl_learners_info[[#This Row],[Date of Birth]]&lt;&gt;0,DATEDIF(tbl_learners_info[[#This Row],[Date of Birth]], TODAY(), "Y"),"")</f>
        <v/>
      </c>
      <c r="S97" s="95" t="str">
        <f>IF(tbl_learners_info[[#This Row],[Name of Previous School]]&lt;&gt;"",IF(tbl_learners_info[[#This Row],[Name of Previous School]]="EAST GUSA NATIONAL HIGH SCHOOL","NO","YES"),"")</f>
        <v/>
      </c>
      <c r="T97" s="96" t="str">
        <f>tbl_learners_info[[#This Row],[Full Name (Spelled Out)]]</f>
        <v/>
      </c>
      <c r="U97" s="71"/>
      <c r="V97" s="71"/>
      <c r="W97" s="71"/>
      <c r="X97" s="71"/>
      <c r="Y97" s="71"/>
      <c r="Z97" s="71"/>
      <c r="AA97" s="71"/>
      <c r="AB97" s="71"/>
      <c r="AC97" s="71"/>
      <c r="AD97" s="71"/>
      <c r="AE97" s="71"/>
      <c r="AF97" s="71"/>
      <c r="AG97" s="71"/>
      <c r="AH97" s="71"/>
      <c r="AI97" s="71"/>
      <c r="AJ97" s="71"/>
      <c r="AK97" s="71"/>
      <c r="AL97" s="71"/>
      <c r="AM97" s="71"/>
      <c r="AN97" s="71"/>
      <c r="AO97" s="96" t="str">
        <f>tbl_learners_info[[#This Row],[Last Name, First Name, Middle Initial ]]</f>
        <v/>
      </c>
      <c r="AP97" s="71"/>
      <c r="AQ97" s="71"/>
      <c r="AR97" s="71"/>
      <c r="AS97" s="71"/>
      <c r="AT97" s="71"/>
      <c r="AU97" s="71"/>
      <c r="AV97" s="71"/>
      <c r="AW97" s="71"/>
      <c r="AX97" s="71"/>
      <c r="AY97" s="71"/>
      <c r="AZ97" s="71"/>
      <c r="BA97" s="71"/>
      <c r="BB97" s="71"/>
      <c r="BC97" s="71"/>
      <c r="BD97" s="71"/>
      <c r="BE97" s="71"/>
      <c r="BF97" s="71"/>
      <c r="BG97" s="71"/>
      <c r="BH97" s="71"/>
      <c r="BI97" s="71"/>
      <c r="BJ97" s="96" t="str">
        <f>tbl_learners_info[[#This Row],[Last Name, First Name, Middle Initial ]]</f>
        <v/>
      </c>
      <c r="BK97" s="71"/>
      <c r="BL97" s="71"/>
      <c r="BM97" s="71"/>
      <c r="BN97" s="71"/>
      <c r="BO97" s="71"/>
      <c r="BP97" s="71"/>
      <c r="BQ97" s="71"/>
      <c r="BR97" s="71"/>
      <c r="BS97" s="71"/>
      <c r="BT97" s="71"/>
      <c r="BU97" s="71"/>
    </row>
    <row r="98" spans="3:73" ht="19.95" customHeight="1" x14ac:dyDescent="0.3">
      <c r="C98" s="80"/>
      <c r="D98" s="80"/>
      <c r="E98" s="80"/>
      <c r="F98" s="80"/>
      <c r="G98" s="80"/>
      <c r="H98" s="80"/>
      <c r="I98" s="6"/>
      <c r="J98" s="80"/>
      <c r="K98" s="80"/>
      <c r="L98" s="81"/>
      <c r="M98" s="82"/>
      <c r="N98" s="3"/>
      <c r="O98" s="83"/>
      <c r="P9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8" s="94" t="str">
        <f ca="1">IF(tbl_learners_info[[#This Row],[Date of Birth]]&lt;&gt;0,DATEDIF(tbl_learners_info[[#This Row],[Date of Birth]], TODAY(), "Y"),"")</f>
        <v/>
      </c>
      <c r="S98" s="95" t="str">
        <f>IF(tbl_learners_info[[#This Row],[Name of Previous School]]&lt;&gt;"",IF(tbl_learners_info[[#This Row],[Name of Previous School]]="EAST GUSA NATIONAL HIGH SCHOOL","NO","YES"),"")</f>
        <v/>
      </c>
      <c r="T98" s="96" t="str">
        <f>tbl_learners_info[[#This Row],[Full Name (Spelled Out)]]</f>
        <v/>
      </c>
      <c r="U98" s="71"/>
      <c r="V98" s="71"/>
      <c r="W98" s="71"/>
      <c r="X98" s="71"/>
      <c r="Y98" s="71"/>
      <c r="Z98" s="71"/>
      <c r="AA98" s="71"/>
      <c r="AB98" s="71"/>
      <c r="AC98" s="71"/>
      <c r="AD98" s="71"/>
      <c r="AE98" s="71"/>
      <c r="AF98" s="71"/>
      <c r="AG98" s="71"/>
      <c r="AH98" s="71"/>
      <c r="AI98" s="71"/>
      <c r="AJ98" s="71"/>
      <c r="AK98" s="71"/>
      <c r="AL98" s="71"/>
      <c r="AM98" s="71"/>
      <c r="AN98" s="71"/>
      <c r="AO98" s="96" t="str">
        <f>tbl_learners_info[[#This Row],[Last Name, First Name, Middle Initial ]]</f>
        <v/>
      </c>
      <c r="AP98" s="71"/>
      <c r="AQ98" s="71"/>
      <c r="AR98" s="71"/>
      <c r="AS98" s="71"/>
      <c r="AT98" s="71"/>
      <c r="AU98" s="71"/>
      <c r="AV98" s="71"/>
      <c r="AW98" s="71"/>
      <c r="AX98" s="71"/>
      <c r="AY98" s="71"/>
      <c r="AZ98" s="71"/>
      <c r="BA98" s="71"/>
      <c r="BB98" s="71"/>
      <c r="BC98" s="71"/>
      <c r="BD98" s="71"/>
      <c r="BE98" s="71"/>
      <c r="BF98" s="71"/>
      <c r="BG98" s="71"/>
      <c r="BH98" s="71"/>
      <c r="BI98" s="71"/>
      <c r="BJ98" s="96" t="str">
        <f>tbl_learners_info[[#This Row],[Last Name, First Name, Middle Initial ]]</f>
        <v/>
      </c>
      <c r="BK98" s="71"/>
      <c r="BL98" s="71"/>
      <c r="BM98" s="71"/>
      <c r="BN98" s="71"/>
      <c r="BO98" s="71"/>
      <c r="BP98" s="71"/>
      <c r="BQ98" s="71"/>
      <c r="BR98" s="71"/>
      <c r="BS98" s="71"/>
      <c r="BT98" s="71"/>
      <c r="BU98" s="71"/>
    </row>
    <row r="99" spans="3:73" ht="19.95" customHeight="1" x14ac:dyDescent="0.3">
      <c r="C99" s="80"/>
      <c r="D99" s="80"/>
      <c r="E99" s="80"/>
      <c r="F99" s="80"/>
      <c r="G99" s="80"/>
      <c r="H99" s="80"/>
      <c r="I99" s="6"/>
      <c r="J99" s="80"/>
      <c r="K99" s="80"/>
      <c r="L99" s="81"/>
      <c r="M99" s="82"/>
      <c r="N99" s="3"/>
      <c r="O99" s="83"/>
      <c r="P9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9" s="94" t="str">
        <f ca="1">IF(tbl_learners_info[[#This Row],[Date of Birth]]&lt;&gt;0,DATEDIF(tbl_learners_info[[#This Row],[Date of Birth]], TODAY(), "Y"),"")</f>
        <v/>
      </c>
      <c r="S99" s="95" t="str">
        <f>IF(tbl_learners_info[[#This Row],[Name of Previous School]]&lt;&gt;"",IF(tbl_learners_info[[#This Row],[Name of Previous School]]="EAST GUSA NATIONAL HIGH SCHOOL","NO","YES"),"")</f>
        <v/>
      </c>
      <c r="T99" s="96" t="str">
        <f>tbl_learners_info[[#This Row],[Full Name (Spelled Out)]]</f>
        <v/>
      </c>
      <c r="U99" s="71"/>
      <c r="V99" s="71"/>
      <c r="W99" s="71"/>
      <c r="X99" s="71"/>
      <c r="Y99" s="71"/>
      <c r="Z99" s="71"/>
      <c r="AA99" s="71"/>
      <c r="AB99" s="71"/>
      <c r="AC99" s="71"/>
      <c r="AD99" s="71"/>
      <c r="AE99" s="71"/>
      <c r="AF99" s="71"/>
      <c r="AG99" s="71"/>
      <c r="AH99" s="71"/>
      <c r="AI99" s="71"/>
      <c r="AJ99" s="71"/>
      <c r="AK99" s="71"/>
      <c r="AL99" s="71"/>
      <c r="AM99" s="71"/>
      <c r="AN99" s="71"/>
      <c r="AO99" s="96" t="str">
        <f>tbl_learners_info[[#This Row],[Last Name, First Name, Middle Initial ]]</f>
        <v/>
      </c>
      <c r="AP99" s="71"/>
      <c r="AQ99" s="71"/>
      <c r="AR99" s="71"/>
      <c r="AS99" s="71"/>
      <c r="AT99" s="71"/>
      <c r="AU99" s="71"/>
      <c r="AV99" s="71"/>
      <c r="AW99" s="71"/>
      <c r="AX99" s="71"/>
      <c r="AY99" s="71"/>
      <c r="AZ99" s="71"/>
      <c r="BA99" s="71"/>
      <c r="BB99" s="71"/>
      <c r="BC99" s="71"/>
      <c r="BD99" s="71"/>
      <c r="BE99" s="71"/>
      <c r="BF99" s="71"/>
      <c r="BG99" s="71"/>
      <c r="BH99" s="71"/>
      <c r="BI99" s="71"/>
      <c r="BJ99" s="96" t="str">
        <f>tbl_learners_info[[#This Row],[Last Name, First Name, Middle Initial ]]</f>
        <v/>
      </c>
      <c r="BK99" s="71"/>
      <c r="BL99" s="71"/>
      <c r="BM99" s="71"/>
      <c r="BN99" s="71"/>
      <c r="BO99" s="71"/>
      <c r="BP99" s="71"/>
      <c r="BQ99" s="71"/>
      <c r="BR99" s="71"/>
      <c r="BS99" s="71"/>
      <c r="BT99" s="71"/>
      <c r="BU99" s="71"/>
    </row>
    <row r="100" spans="3:73" ht="19.95" customHeight="1" x14ac:dyDescent="0.3">
      <c r="C100" s="84"/>
      <c r="D100" s="84"/>
      <c r="E100" s="84"/>
      <c r="F100" s="84"/>
      <c r="G100" s="84"/>
      <c r="H100" s="84"/>
      <c r="I100" s="85"/>
      <c r="J100" s="84"/>
      <c r="K100" s="84"/>
      <c r="L100" s="86"/>
      <c r="M100" s="87"/>
      <c r="N100" s="88"/>
      <c r="O100" s="89"/>
      <c r="P10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10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100" s="94" t="str">
        <f ca="1">IF(tbl_learners_info[[#This Row],[Date of Birth]]&lt;&gt;0,DATEDIF(tbl_learners_info[[#This Row],[Date of Birth]], TODAY(), "Y"),"")</f>
        <v/>
      </c>
      <c r="S100" s="95" t="str">
        <f>IF(tbl_learners_info[[#This Row],[Name of Previous School]]&lt;&gt;"",IF(tbl_learners_info[[#This Row],[Name of Previous School]]="EAST GUSA NATIONAL HIGH SCHOOL","NO","YES"),"")</f>
        <v/>
      </c>
      <c r="T100" s="96" t="str">
        <f>tbl_learners_info[[#This Row],[Full Name (Spelled Out)]]</f>
        <v/>
      </c>
      <c r="U100" s="71"/>
      <c r="V100" s="71"/>
      <c r="W100" s="71"/>
      <c r="X100" s="71"/>
      <c r="Y100" s="71"/>
      <c r="Z100" s="71"/>
      <c r="AA100" s="71"/>
      <c r="AB100" s="71"/>
      <c r="AC100" s="71"/>
      <c r="AD100" s="71"/>
      <c r="AE100" s="71"/>
      <c r="AF100" s="71"/>
      <c r="AG100" s="71"/>
      <c r="AH100" s="71"/>
      <c r="AI100" s="71"/>
      <c r="AJ100" s="71"/>
      <c r="AK100" s="71"/>
      <c r="AL100" s="71"/>
      <c r="AM100" s="71"/>
      <c r="AN100" s="71"/>
      <c r="AO100" s="96" t="str">
        <f>tbl_learners_info[[#This Row],[Last Name, First Name, Middle Initial ]]</f>
        <v/>
      </c>
      <c r="AP100" s="71"/>
      <c r="AQ100" s="71"/>
      <c r="AR100" s="71"/>
      <c r="AS100" s="71"/>
      <c r="AT100" s="71"/>
      <c r="AU100" s="71"/>
      <c r="AV100" s="71"/>
      <c r="AW100" s="71"/>
      <c r="AX100" s="71"/>
      <c r="AY100" s="71"/>
      <c r="AZ100" s="71"/>
      <c r="BA100" s="71"/>
      <c r="BB100" s="71"/>
      <c r="BC100" s="71"/>
      <c r="BD100" s="71"/>
      <c r="BE100" s="71"/>
      <c r="BF100" s="71"/>
      <c r="BG100" s="71"/>
      <c r="BH100" s="71"/>
      <c r="BI100" s="71"/>
      <c r="BJ100" s="96" t="str">
        <f>tbl_learners_info[[#This Row],[Last Name, First Name, Middle Initial ]]</f>
        <v/>
      </c>
      <c r="BK100" s="71"/>
      <c r="BL100" s="71"/>
      <c r="BM100" s="71"/>
      <c r="BN100" s="71"/>
      <c r="BO100" s="71"/>
      <c r="BP100" s="71"/>
      <c r="BQ100" s="71"/>
      <c r="BR100" s="71"/>
      <c r="BS100" s="71"/>
      <c r="BT100" s="71"/>
      <c r="BU100" s="71"/>
    </row>
    <row r="101" spans="3:73" ht="19.95" customHeight="1" x14ac:dyDescent="0.3"/>
  </sheetData>
  <sheetProtection selectLockedCells="1"/>
  <mergeCells count="24">
    <mergeCell ref="AO2:AT2"/>
    <mergeCell ref="BJ2:BL2"/>
    <mergeCell ref="C2:E2"/>
    <mergeCell ref="U3:V3"/>
    <mergeCell ref="W3:X3"/>
    <mergeCell ref="AP3:AQ3"/>
    <mergeCell ref="AR3:AS3"/>
    <mergeCell ref="AI3:AJ3"/>
    <mergeCell ref="AK3:AL3"/>
    <mergeCell ref="AM3:AN3"/>
    <mergeCell ref="Y3:Z3"/>
    <mergeCell ref="AA3:AB3"/>
    <mergeCell ref="AC3:AD3"/>
    <mergeCell ref="AE3:AF3"/>
    <mergeCell ref="AG3:AH3"/>
    <mergeCell ref="T2:Y2"/>
    <mergeCell ref="AT3:AU3"/>
    <mergeCell ref="AV3:AW3"/>
    <mergeCell ref="BH3:BI3"/>
    <mergeCell ref="AX3:AY3"/>
    <mergeCell ref="AZ3:BA3"/>
    <mergeCell ref="BB3:BC3"/>
    <mergeCell ref="BD3:BE3"/>
    <mergeCell ref="BF3:BG3"/>
  </mergeCells>
  <phoneticPr fontId="9" type="noConversion"/>
  <dataValidations xWindow="361" yWindow="724" count="17">
    <dataValidation allowBlank="1" showInputMessage="1" showErrorMessage="1" prompt="Enter Email address in this column under this heading" sqref="J4:O4" xr:uid="{BC3D44EC-9C5F-40C2-902F-0315A322BD26}"/>
    <dataValidation allowBlank="1" showInputMessage="1" showErrorMessage="1" prompt="Enter Cell number in this column under this heading" sqref="I4" xr:uid="{CEB98AB9-10CD-4B60-8D8A-A0F7C88F20F9}"/>
    <dataValidation allowBlank="1" showInputMessage="1" showErrorMessage="1" prompt="Enter Work Phone number in this column under this heading" sqref="H4" xr:uid="{A1F6BEB3-8D7D-4EA7-A039-D3E314493EE0}"/>
    <dataValidation allowBlank="1" showInputMessage="1" showErrorMessage="1" prompt="Enter Home Phone number in this column under this heading" sqref="F4:G4" xr:uid="{D76F87DE-855C-499E-A1E0-B9E85CD74B57}"/>
    <dataValidation allowBlank="1" showInputMessage="1" showErrorMessage="1" prompt="Enter Address in this column under this heading" sqref="E4" xr:uid="{27D78179-3E82-4307-98DA-10E01E84BB6F}"/>
    <dataValidation allowBlank="1" showInputMessage="1" showErrorMessage="1" prompt="Enter First Name in this column under this heading" sqref="D4 R4" xr:uid="{DBDE06E8-98C3-481A-8ED5-BF46CB7825B2}"/>
    <dataValidation allowBlank="1" showInputMessage="1" showErrorMessage="1" prompt="Enter Last Name in this column under this heading. Use heading filters to find specific entries" sqref="C4 P4:Q4" xr:uid="{D8DC16BE-030C-421C-B2D6-D4C2D77F4269}"/>
    <dataValidation allowBlank="1" showInputMessage="1" showErrorMessage="1" prompt="Create an Employee Phone List in this worksheet" sqref="B3" xr:uid="{6E5A28AF-357C-4ABC-BB04-1E1BF1C06D31}"/>
    <dataValidation type="list" allowBlank="1" showInputMessage="1" showErrorMessage="1" errorTitle="Invalid Entry" error="The entered data is not valid. Please review and correct" promptTitle="SELECT FROM LIST" prompt="Please choose a value from the dropdown list." sqref="H5:H100" xr:uid="{9F8C3112-7EE3-4F47-A2F3-04D89E1DC679}">
      <formula1>"MALE,FEMALE"</formula1>
    </dataValidation>
    <dataValidation type="decimal" allowBlank="1" showInputMessage="1" showErrorMessage="1" errorTitle="Invalid Entry" error="Invalid data entry. The General Average (Gen. Ave) or Rating must be a numerical value between 75 and 99." promptTitle="IMPORTANT NOTICE" prompt="Double-check your entries to prevent errors" sqref="L5:L100" xr:uid="{67B80C22-6587-4464-AC24-83A75A97DB0A}">
      <formula1>74</formula1>
      <formula2>100</formula2>
    </dataValidation>
    <dataValidation type="list" allowBlank="1" showInputMessage="1" showErrorMessage="1" errorTitle="Invalid Entry" error="The entered data is not valid. Please review and correct" promptTitle="SELECT FROM LIST" prompt="Please choose a value from the dropdown list" sqref="K5:K100" xr:uid="{EBEB4626-9EA7-4545-AA00-D0651CC2D07B}">
      <formula1>"HIGH SCHOOL COMPLETER,JUNIOR HIGH SCHOOL COMPLETER,PEPT PASSER,ALS A&amp;E PASSER"</formula1>
    </dataValidation>
    <dataValidation type="whole" allowBlank="1" showInputMessage="1" showErrorMessage="1" errorTitle="INVALID ENTRY" error="The entered data is not valid. Please review and correct" promptTitle="IMPORTANT NOTICE" prompt="Double-check your entries to prevent errors" sqref="C5:C100" xr:uid="{DB0DDB67-0DFA-4CCE-9E23-3A34034858FB}">
      <formula1>0</formula1>
      <formula2>10000000000000</formula2>
    </dataValidation>
    <dataValidation type="list" allowBlank="1" showInputMessage="1" showErrorMessage="1" errorTitle="Invalid Entry" error="The entered data is not valid. Please review and correct" promptTitle="SELECT FROM LIST" prompt="Please choose a value from the dropdown list." sqref="G5:G100" xr:uid="{C7CD949D-E000-4013-9CAB-0962076FFC1A}">
      <formula1>"JR.,SR.,II,III,IV"</formula1>
    </dataValidation>
    <dataValidation type="date" allowBlank="1" showInputMessage="1" showErrorMessage="1" errorTitle="Invalid Date Entry" error="The entered data is not valid. Please review and correct" promptTitle="Format : DD/MM/YYYY" prompt="Please be aware that when entering dates in the MM/DD/YYYY format, Excel will display them as DD/MM/YYYY." sqref="M5:M100 J5:J100" xr:uid="{A8DBA10A-C09C-4AD6-B506-7D3F5648B284}">
      <formula1>36526</formula1>
      <formula2>54789</formula2>
    </dataValidation>
    <dataValidation allowBlank="1" showInputMessage="1" showErrorMessage="1" errorTitle="Invalid Entry" error="The entered data is not valid. Please review and correct" promptTitle="IMPORTANT NOTICE" prompt="Double-check your entries to prevent errors" sqref="N5:O100 D5:F100" xr:uid="{0D950194-71BF-4609-A5CF-CFF9F42F37EF}"/>
    <dataValidation type="date" allowBlank="1" showInputMessage="1" showErrorMessage="1" errorTitle="Invalid Date Entry" error="The entered data is not valid. Please review and correct" promptTitle="Format : DD/MM/YYYY" prompt="Please be aware that when entering dates in the MM/DD/YYYY format, Excel will display them as DD/MM/YYYY." sqref="I5:I100" xr:uid="{34087E23-2EF4-485B-AE65-FF9E01FB081A}">
      <formula1>1</formula1>
      <formula2>54789</formula2>
    </dataValidation>
    <dataValidation type="list" allowBlank="1" showInputMessage="1" showErrorMessage="1" sqref="BK5:BU100" xr:uid="{9CAAEAC6-77AA-4290-9247-0D31C4A87945}">
      <formula1>"0, 1, 2, 3, 4, 5, 6, 7, 8, 9, 10, 11, 12, 13, 14, 15, 16, 17, 18, 19, 20, 21, 22, 23, 24, 25, 26, 27, 28, 29, 30, 31"</formula1>
    </dataValidation>
  </dataValidations>
  <printOptions horizontalCentered="1"/>
  <pageMargins left="0.4" right="0.4" top="0.4" bottom="0.4" header="0.3" footer="0.3"/>
  <pageSetup paperSize="256" scale="26" fitToWidth="0" orientation="landscape" r:id="rId1"/>
  <headerFooter differentFirst="1"/>
  <drawing r:id="rId2"/>
  <legacyDrawing r:id="rId3"/>
  <tableParts count="1">
    <tablePart r:id="rId4"/>
  </tableParts>
  <extLst>
    <ext xmlns:x14="http://schemas.microsoft.com/office/spreadsheetml/2009/9/main" uri="{CCE6A557-97BC-4b89-ADB6-D9C93CAAB3DF}">
      <x14:dataValidations xmlns:xm="http://schemas.microsoft.com/office/excel/2006/main" xWindow="361" yWindow="724" count="1">
        <x14:dataValidation type="list" allowBlank="1" showInputMessage="1" showErrorMessage="1" xr:uid="{136F4E46-2D9F-4A9D-BF0A-CC01788A6ACE}">
          <x14:formula1>
            <xm:f>DATA_INPUT!$B$38:$B$82</xm:f>
          </x14:formula1>
          <xm:sqref>U5:AN100 BD5:BI100 AP5:BA100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DDC9-5370-4672-A214-D2299412789B}">
  <sheetPr codeName="Sheet8">
    <tabColor rgb="FF44546A"/>
  </sheetPr>
  <dimension ref="B2:W82"/>
  <sheetViews>
    <sheetView topLeftCell="M1" zoomScale="85" zoomScaleNormal="85" workbookViewId="0">
      <selection activeCell="F20" sqref="F20"/>
    </sheetView>
  </sheetViews>
  <sheetFormatPr defaultRowHeight="14.4" x14ac:dyDescent="0.3"/>
  <cols>
    <col min="1" max="1" width="8.88671875" customWidth="1"/>
    <col min="2" max="2" width="15.88671875" customWidth="1"/>
    <col min="3" max="3" width="49" style="17" bestFit="1" customWidth="1"/>
    <col min="4" max="4" width="6" style="17" customWidth="1"/>
    <col min="5" max="5" width="26.77734375" style="21" customWidth="1"/>
    <col min="6" max="6" width="30.88671875" style="17" bestFit="1" customWidth="1"/>
    <col min="7" max="7" width="8.77734375" style="21" bestFit="1" customWidth="1"/>
    <col min="8" max="8" width="15.6640625" style="21" bestFit="1" customWidth="1"/>
    <col min="9" max="9" width="32.33203125" style="21" bestFit="1" customWidth="1"/>
    <col min="10" max="10" width="41.44140625" style="21" bestFit="1" customWidth="1"/>
    <col min="11" max="11" width="11.21875" style="17" customWidth="1"/>
    <col min="12" max="12" width="12.44140625" customWidth="1"/>
    <col min="13" max="13" width="52" bestFit="1" customWidth="1"/>
    <col min="14" max="14" width="31.5546875" bestFit="1" customWidth="1"/>
    <col min="15" max="16" width="14.5546875" style="92" customWidth="1"/>
    <col min="17" max="18" width="18.33203125" style="92" bestFit="1" customWidth="1"/>
    <col min="19" max="20" width="16.33203125" bestFit="1" customWidth="1"/>
    <col min="21" max="21" width="18.88671875" bestFit="1" customWidth="1"/>
    <col min="22" max="22" width="19.109375" customWidth="1"/>
    <col min="23" max="23" width="14.109375" customWidth="1"/>
  </cols>
  <sheetData>
    <row r="2" spans="2:23" ht="15" thickBot="1" x14ac:dyDescent="0.35">
      <c r="C2" s="14"/>
      <c r="D2" s="14"/>
      <c r="E2" s="20"/>
      <c r="F2" s="14"/>
      <c r="G2" s="20"/>
      <c r="H2" s="20"/>
      <c r="I2" s="20"/>
      <c r="J2" s="20"/>
      <c r="K2" s="14"/>
    </row>
    <row r="3" spans="2:23" x14ac:dyDescent="0.3">
      <c r="B3" s="28" t="s">
        <v>93</v>
      </c>
      <c r="C3" s="14"/>
      <c r="D3" s="14"/>
      <c r="E3" s="25" t="s">
        <v>88</v>
      </c>
      <c r="F3" s="25" t="s">
        <v>86</v>
      </c>
      <c r="G3" s="25" t="s">
        <v>87</v>
      </c>
      <c r="H3" s="25" t="s">
        <v>89</v>
      </c>
      <c r="I3" s="25" t="s">
        <v>90</v>
      </c>
      <c r="J3" s="25" t="s">
        <v>11</v>
      </c>
      <c r="K3" s="14"/>
      <c r="L3" t="s">
        <v>99</v>
      </c>
      <c r="M3" t="s">
        <v>101</v>
      </c>
      <c r="N3" t="s">
        <v>102</v>
      </c>
      <c r="O3" s="92" t="s">
        <v>126</v>
      </c>
      <c r="P3" s="92" t="s">
        <v>127</v>
      </c>
      <c r="Q3" s="120" t="s">
        <v>135</v>
      </c>
      <c r="R3" s="121" t="s">
        <v>136</v>
      </c>
      <c r="S3" t="s">
        <v>137</v>
      </c>
      <c r="T3" t="s">
        <v>138</v>
      </c>
      <c r="U3" s="126" t="s">
        <v>134</v>
      </c>
      <c r="V3" s="126" t="s">
        <v>142</v>
      </c>
      <c r="W3" t="s">
        <v>64</v>
      </c>
    </row>
    <row r="4" spans="2:23" x14ac:dyDescent="0.3">
      <c r="B4" s="30" t="s">
        <v>42</v>
      </c>
      <c r="C4" s="14" t="str">
        <f>Lookup_Student_Name</f>
        <v>ROBBIE, MARGOT E.</v>
      </c>
      <c r="D4" s="14"/>
      <c r="E4" s="25" t="str">
        <f>IF($C$19=$F4,"/","")</f>
        <v/>
      </c>
      <c r="F4" s="26" t="s">
        <v>83</v>
      </c>
      <c r="G4" s="27" t="str">
        <f>IF($C$19=$F4,IFERROR(INDEX(tbl_learners_info[Gen. Ave / Rating],MATCH(Lookup_Student_Name,tbl_learners_info[Student Name],0),1),""),"")</f>
        <v/>
      </c>
      <c r="H4" s="175">
        <f>IF(OR($C$19=$F$4,$C$19=$F$5),IFERROR(INDEX(tbl_learners_info[Date of Graduation /
Completion/Examination],MATCH(Lookup_Student_Name,tbl_learners_info[Student Name],0),1),""),"")</f>
        <v>44741</v>
      </c>
      <c r="I4" s="175" t="str">
        <f>IF(OR($C$19=$F$4,$C$19=$F$5),IFERROR(INDEX(tbl_learners_info[Name of Previous School],MATCH(Lookup_Student_Name,tbl_learners_info[Student Name],0),1),""),"")</f>
        <v>LAPASAN NATIONAL HIGH SCHOOL</v>
      </c>
      <c r="J4" s="177" t="str">
        <f>IF(OR($C$19=$F$4,$C$19=$F$5),IFERROR(INDEX(tbl_learners_info[School Address],MATCH(Lookup_Student_Name,tbl_learners_info[Student Name],0),1),""),"")</f>
        <v>Lapasan, Cagayan de Oro City</v>
      </c>
      <c r="K4" s="14"/>
      <c r="L4" s="68">
        <v>1</v>
      </c>
      <c r="M4" s="68" t="str" cm="1">
        <f t="array" ref="M4">IFERROR(INDEX(tbl_subjects[SUBJECTS],MATCH("FIRST"&amp;tbl_first_sem_list_of_subjects[[#This Row],[Sort Order]],tbl_subjects[SEMESTER]&amp;tbl_subjects[SORT ORDER],0),1),"")</f>
        <v>Personal Development</v>
      </c>
      <c r="N4" t="str">
        <f>IFERROR(INDEX(tbl_subjects[SUBJECT CATEGORY],MATCH(tbl_first_sem_list_of_subjects[[#This Row],[First Semester Subjects]],tbl_subjects[SUBJECTS],0),1),"")</f>
        <v>CORE</v>
      </c>
      <c r="O4" s="92">
        <f>INDEX(tbl_learners_info[10],MATCH(Lookup_Student_Name,tbl_learners_info[Student Name],0),1)</f>
        <v>82</v>
      </c>
      <c r="P4" s="92">
        <f>INDEX(tbl_learners_info[20],MATCH(Lookup_Student_Name,tbl_learners_info[Student Name],0),1)</f>
        <v>75</v>
      </c>
      <c r="Q4"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82</v>
      </c>
      <c r="R4"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75</v>
      </c>
      <c r="S4" t="str">
        <f>IF(tbl_first_sem_list_of_subjects[[#This Row],[Qtr 1 Grades]]="sub_taken","completed",
IF(tbl_first_sem_list_of_subjects[[#This Row],[Subject Category ]]&lt;&gt;"","on-going","")
)</f>
        <v>on-going</v>
      </c>
      <c r="T4" t="str">
        <f>IF(tbl_first_sem_list_of_subjects[[#This Row],[Qtr 2 Grades]]="sub_taken","completed",
IF(tbl_first_sem_list_of_subjects[[#This Row],[Subject Category ]]&lt;&gt;"","on-going","")
)</f>
        <v>on-going</v>
      </c>
      <c r="U4" s="127" t="str">
        <f>IF(AND(tbl_first_sem_list_of_subjects[[#This Row],[Qtr 1 Remarks]]="on-going",tbl_first_sem_list_of_subjects[[#This Row],[Qtr 2 Remarks]]="on-going"),"ISTAKEN"&amp;tbl_first_sem_list_of_subjects[[#This Row],[Subject Category ]],"")</f>
        <v>ISTAKENCORE</v>
      </c>
      <c r="V4" s="127">
        <f>IF(AND(tbl_first_sem_list_of_subjects[[#This Row],[Qtr 1 final grade]]&gt;50,tbl_first_sem_list_of_subjects[[#This Row],[Qtr 2 final grade]]&gt;50),ROUND(AVERAGE(tbl_first_sem_list_of_subjects[[#This Row],[Qtr 1 final grade]:[Qtr 2 final grade]]),0),0)</f>
        <v>79</v>
      </c>
      <c r="W4" t="str">
        <f>IF(tbl_first_sem_list_of_subjects[[#This Row],[Sem1 Final Grades]]&gt;=75,"PASSED",IF(tbl_first_sem_list_of_subjects[[#This Row],[Sem1 Final Grades]]&lt;&gt;0,"FAILED",""))</f>
        <v>PASSED</v>
      </c>
    </row>
    <row r="5" spans="2:23" x14ac:dyDescent="0.3">
      <c r="B5" s="30" t="s">
        <v>2</v>
      </c>
      <c r="C5" s="15">
        <f>INDEX(tbl_learners_info[LRN],MATCH(Student_FullName,tbl_learners_info[Student Name],0),1)</f>
        <v>127944090258</v>
      </c>
      <c r="D5" s="15"/>
      <c r="E5" s="25" t="str">
        <f t="shared" ref="E5:E8" si="0">IF($C$19=$F5,"/","")</f>
        <v>/</v>
      </c>
      <c r="F5" s="26" t="s">
        <v>8</v>
      </c>
      <c r="G5" s="27">
        <f>IF($C$19=$F5,IFERROR(INDEX(tbl_learners_info[Gen. Ave / Rating],MATCH(Lookup_Student_Name,tbl_learners_info[Student Name],0),1),""),"")</f>
        <v>80</v>
      </c>
      <c r="H5" s="176"/>
      <c r="I5" s="176"/>
      <c r="J5" s="178"/>
      <c r="K5" s="15"/>
      <c r="L5" s="68">
        <v>2</v>
      </c>
      <c r="M5" s="68" t="str" cm="1">
        <f t="array" ref="M5">IFERROR(INDEX(tbl_subjects[SUBJECTS],MATCH("FIRST"&amp;tbl_first_sem_list_of_subjects[[#This Row],[Sort Order]],tbl_subjects[SEMESTER]&amp;tbl_subjects[SORT ORDER],0),1),"")</f>
        <v>Understanding Culture, Society and Politics</v>
      </c>
      <c r="N5" t="str">
        <f>IFERROR(INDEX(tbl_subjects[SUBJECT CATEGORY],MATCH(tbl_first_sem_list_of_subjects[[#This Row],[First Semester Subjects]],tbl_subjects[SUBJECTS],0),1),"")</f>
        <v>CORE</v>
      </c>
      <c r="O5" s="92">
        <f>INDEX(tbl_learners_info[11],MATCH(Lookup_Student_Name,tbl_learners_info[Student Name],0),1)</f>
        <v>78</v>
      </c>
      <c r="P5" s="92">
        <f>INDEX(tbl_learners_info[21],MATCH(Lookup_Student_Name,tbl_learners_info[Student Name],0),1)</f>
        <v>78</v>
      </c>
      <c r="Q5"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78</v>
      </c>
      <c r="R5"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78</v>
      </c>
      <c r="S5" t="str">
        <f>IF(tbl_first_sem_list_of_subjects[[#This Row],[Qtr 1 Grades]]="sub_taken","completed",
IF(tbl_first_sem_list_of_subjects[[#This Row],[Subject Category ]]&lt;&gt;"","on-going","")
)</f>
        <v>on-going</v>
      </c>
      <c r="T5" t="str">
        <f>IF(tbl_first_sem_list_of_subjects[[#This Row],[Qtr 2 Grades]]="sub_taken","completed",
IF(tbl_first_sem_list_of_subjects[[#This Row],[Subject Category ]]&lt;&gt;"","on-going","")
)</f>
        <v>on-going</v>
      </c>
      <c r="U5" s="127" t="str">
        <f>IF(AND(tbl_first_sem_list_of_subjects[[#This Row],[Qtr 1 Remarks]]="on-going",tbl_first_sem_list_of_subjects[[#This Row],[Qtr 2 Remarks]]="on-going"),"ISTAKEN"&amp;tbl_first_sem_list_of_subjects[[#This Row],[Subject Category ]],"")</f>
        <v>ISTAKENCORE</v>
      </c>
      <c r="V5" s="127">
        <f>IF(AND(tbl_first_sem_list_of_subjects[[#This Row],[Qtr 1 final grade]]&gt;50,tbl_first_sem_list_of_subjects[[#This Row],[Qtr 2 final grade]]&gt;50),ROUND(AVERAGE(tbl_first_sem_list_of_subjects[[#This Row],[Qtr 1 final grade]:[Qtr 2 final grade]]),0),0)</f>
        <v>78</v>
      </c>
      <c r="W5" t="str">
        <f>IF(tbl_first_sem_list_of_subjects[[#This Row],[Sem1 Final Grades]]&gt;=75,"PASSED",IF(tbl_first_sem_list_of_subjects[[#This Row],[Sem1 Final Grades]]&lt;&gt;0,"FAILED",""))</f>
        <v>PASSED</v>
      </c>
    </row>
    <row r="6" spans="2:23" x14ac:dyDescent="0.3">
      <c r="B6" s="30" t="s">
        <v>55</v>
      </c>
      <c r="C6" s="16">
        <f ca="1">INDEX(tbl_learners_info[Age],MATCH(Student_FullName,tbl_learners_info[Student Name],0),1)</f>
        <v>25</v>
      </c>
      <c r="D6" s="16"/>
      <c r="E6" s="25" t="str">
        <f t="shared" si="0"/>
        <v/>
      </c>
      <c r="F6" s="26" t="s">
        <v>84</v>
      </c>
      <c r="G6" s="27" t="str">
        <f>IF($C$19=$F6,IFERROR(INDEX(tbl_learners_info[Gen. Ave / Rating],MATCH(Lookup_Student_Name,tbl_learners_info[Student Name],0),1),""),"")</f>
        <v/>
      </c>
      <c r="H6" s="179" t="str">
        <f>IF(OR($C$19=$F$6,$C$19=$F$7,$C$19=$F$8),IFERROR(INDEX(tbl_learners_info[Date of Graduation /
Completion/Examination],MATCH(Lookup_Student_Name,tbl_learners_info[Student Name],0),1),""),"")</f>
        <v/>
      </c>
      <c r="I6" s="179" t="str">
        <f>IF(OR($C$19=$F$6,$C$19=$F$7,$C$19=$F$8),IFERROR(INDEX(tbl_learners_info[Name of Previous School],MATCH(Lookup_Student_Name,tbl_learners_info[Student Name],0),1),""),"")</f>
        <v/>
      </c>
      <c r="J6" s="179" t="str">
        <f>IF(OR($C$19=$F$6,$C$19=$F$7,$C$19=$F$8),IFERROR(INDEX(tbl_learners_info[School Address],MATCH(Lookup_Student_Name,tbl_learners_info[Student Name],0),1),""),"")</f>
        <v/>
      </c>
      <c r="K6" s="16"/>
      <c r="L6" s="68">
        <v>3</v>
      </c>
      <c r="M6" s="68" t="str" cm="1">
        <f t="array" ref="M6">IFERROR(INDEX(tbl_subjects[SUBJECTS],MATCH("FIRST"&amp;tbl_first_sem_list_of_subjects[[#This Row],[Sort Order]],tbl_subjects[SEMESTER]&amp;tbl_subjects[SORT ORDER],0),1),"")</f>
        <v>Physical Education and Health III</v>
      </c>
      <c r="N6" t="str">
        <f>IFERROR(INDEX(tbl_subjects[SUBJECT CATEGORY],MATCH(tbl_first_sem_list_of_subjects[[#This Row],[First Semester Subjects]],tbl_subjects[SUBJECTS],0),1),"")</f>
        <v>CORE</v>
      </c>
      <c r="O6" s="92">
        <f>INDEX(tbl_learners_info[12],MATCH(Lookup_Student_Name,tbl_learners_info[Student Name],0),1)</f>
        <v>89</v>
      </c>
      <c r="P6" s="92">
        <f>INDEX(tbl_learners_info[22],MATCH(Lookup_Student_Name,tbl_learners_info[Student Name],0),1)</f>
        <v>87</v>
      </c>
      <c r="Q6"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89</v>
      </c>
      <c r="R6"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87</v>
      </c>
      <c r="S6" t="str">
        <f>IF(tbl_first_sem_list_of_subjects[[#This Row],[Qtr 1 Grades]]="sub_taken","completed",
IF(tbl_first_sem_list_of_subjects[[#This Row],[Subject Category ]]&lt;&gt;"","on-going","")
)</f>
        <v>on-going</v>
      </c>
      <c r="T6" t="str">
        <f>IF(tbl_first_sem_list_of_subjects[[#This Row],[Qtr 2 Grades]]="sub_taken","completed",
IF(tbl_first_sem_list_of_subjects[[#This Row],[Subject Category ]]&lt;&gt;"","on-going","")
)</f>
        <v>on-going</v>
      </c>
      <c r="U6" s="127" t="str">
        <f>IF(AND(tbl_first_sem_list_of_subjects[[#This Row],[Qtr 1 Remarks]]="on-going",tbl_first_sem_list_of_subjects[[#This Row],[Qtr 2 Remarks]]="on-going"),"ISTAKEN"&amp;tbl_first_sem_list_of_subjects[[#This Row],[Subject Category ]],"")</f>
        <v>ISTAKENCORE</v>
      </c>
      <c r="V6" s="127">
        <f>IF(AND(tbl_first_sem_list_of_subjects[[#This Row],[Qtr 1 final grade]]&gt;50,tbl_first_sem_list_of_subjects[[#This Row],[Qtr 2 final grade]]&gt;50),ROUND(AVERAGE(tbl_first_sem_list_of_subjects[[#This Row],[Qtr 1 final grade]:[Qtr 2 final grade]]),0),0)</f>
        <v>88</v>
      </c>
      <c r="W6" t="str">
        <f>IF(tbl_first_sem_list_of_subjects[[#This Row],[Sem1 Final Grades]]&gt;=75,"PASSED",IF(tbl_first_sem_list_of_subjects[[#This Row],[Sem1 Final Grades]]&lt;&gt;0,"FAILED",""))</f>
        <v>PASSED</v>
      </c>
    </row>
    <row r="7" spans="2:23" x14ac:dyDescent="0.3">
      <c r="B7" s="30" t="s">
        <v>4</v>
      </c>
      <c r="C7" s="16" t="str">
        <f>INDEX(tbl_learners_info[Sex],MATCH(Student_FullName,tbl_learners_info[Student Name],0),1)</f>
        <v>FEMALE</v>
      </c>
      <c r="D7" s="16"/>
      <c r="E7" s="25" t="str">
        <f t="shared" si="0"/>
        <v/>
      </c>
      <c r="F7" s="26" t="s">
        <v>17</v>
      </c>
      <c r="G7" s="27" t="str">
        <f>IF($C$19=$F7,IFERROR(INDEX(tbl_learners_info[Gen. Ave / Rating],MATCH(Lookup_Student_Name,tbl_learners_info[Student Name],0),1),""),"")</f>
        <v/>
      </c>
      <c r="H7" s="180"/>
      <c r="I7" s="180"/>
      <c r="J7" s="180"/>
      <c r="K7" s="16"/>
      <c r="L7" s="68">
        <v>4</v>
      </c>
      <c r="M7" s="68" t="str" cm="1">
        <f t="array" ref="M7">IFERROR(INDEX(tbl_subjects[SUBJECTS],MATCH("FIRST"&amp;tbl_first_sem_list_of_subjects[[#This Row],[Sort Order]],tbl_subjects[SEMESTER]&amp;tbl_subjects[SORT ORDER],0),1),"")</f>
        <v>English for Academic and Professional Purposes</v>
      </c>
      <c r="N7" t="str">
        <f>IFERROR(INDEX(tbl_subjects[SUBJECT CATEGORY],MATCH(tbl_first_sem_list_of_subjects[[#This Row],[First Semester Subjects]],tbl_subjects[SUBJECTS],0),1),"")</f>
        <v>APPLIED</v>
      </c>
      <c r="O7" s="92">
        <f>INDEX(tbl_learners_info[13],MATCH(Lookup_Student_Name,tbl_learners_info[Student Name],0),1)</f>
        <v>75</v>
      </c>
      <c r="P7" s="92">
        <f>INDEX(tbl_learners_info[23],MATCH(Lookup_Student_Name,tbl_learners_info[Student Name],0),1)</f>
        <v>77</v>
      </c>
      <c r="Q7"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75</v>
      </c>
      <c r="R7"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77</v>
      </c>
      <c r="S7" t="str">
        <f>IF(tbl_first_sem_list_of_subjects[[#This Row],[Qtr 1 Grades]]="sub_taken","completed",
IF(tbl_first_sem_list_of_subjects[[#This Row],[Subject Category ]]&lt;&gt;"","on-going","")
)</f>
        <v>on-going</v>
      </c>
      <c r="T7" t="str">
        <f>IF(tbl_first_sem_list_of_subjects[[#This Row],[Qtr 2 Grades]]="sub_taken","completed",
IF(tbl_first_sem_list_of_subjects[[#This Row],[Subject Category ]]&lt;&gt;"","on-going","")
)</f>
        <v>on-going</v>
      </c>
      <c r="U7" s="127" t="str">
        <f>IF(AND(tbl_first_sem_list_of_subjects[[#This Row],[Qtr 1 Remarks]]="on-going",tbl_first_sem_list_of_subjects[[#This Row],[Qtr 2 Remarks]]="on-going"),"ISTAKEN"&amp;tbl_first_sem_list_of_subjects[[#This Row],[Subject Category ]],"")</f>
        <v>ISTAKENAPPLIED</v>
      </c>
      <c r="V7" s="127">
        <f>IF(AND(tbl_first_sem_list_of_subjects[[#This Row],[Qtr 1 final grade]]&gt;50,tbl_first_sem_list_of_subjects[[#This Row],[Qtr 2 final grade]]&gt;50),ROUND(AVERAGE(tbl_first_sem_list_of_subjects[[#This Row],[Qtr 1 final grade]:[Qtr 2 final grade]]),0),0)</f>
        <v>76</v>
      </c>
      <c r="W7" t="str">
        <f>IF(tbl_first_sem_list_of_subjects[[#This Row],[Sem1 Final Grades]]&gt;=75,"PASSED",IF(tbl_first_sem_list_of_subjects[[#This Row],[Sem1 Final Grades]]&lt;&gt;0,"FAILED",""))</f>
        <v>PASSED</v>
      </c>
    </row>
    <row r="8" spans="2:23" x14ac:dyDescent="0.3">
      <c r="C8" s="16"/>
      <c r="D8" s="16"/>
      <c r="E8" s="25" t="str">
        <f t="shared" si="0"/>
        <v/>
      </c>
      <c r="F8" s="26" t="s">
        <v>85</v>
      </c>
      <c r="G8" s="27" t="str">
        <f>IF($C$19=$F8,IFERROR(INDEX(tbl_learners_info[Gen. Ave / Rating],MATCH(Lookup_Student_Name,tbl_learners_info[Student Name],0),1),""),"")</f>
        <v/>
      </c>
      <c r="H8" s="181"/>
      <c r="I8" s="181"/>
      <c r="J8" s="181"/>
      <c r="K8" s="16"/>
      <c r="L8" s="68">
        <v>5</v>
      </c>
      <c r="M8" s="68" t="str" cm="1">
        <f t="array" ref="M8">IFERROR(INDEX(tbl_subjects[SUBJECTS],MATCH("FIRST"&amp;tbl_first_sem_list_of_subjects[[#This Row],[Sort Order]],tbl_subjects[SEMESTER]&amp;tbl_subjects[SORT ORDER],0),1),"")</f>
        <v>Practical Research 2</v>
      </c>
      <c r="N8" t="str">
        <f>IFERROR(INDEX(tbl_subjects[SUBJECT CATEGORY],MATCH(tbl_first_sem_list_of_subjects[[#This Row],[First Semester Subjects]],tbl_subjects[SUBJECTS],0),1),"")</f>
        <v>APPLIED</v>
      </c>
      <c r="O8" s="92">
        <f>INDEX(tbl_learners_info[14],MATCH(Lookup_Student_Name,tbl_learners_info[Student Name],0),1)</f>
        <v>84</v>
      </c>
      <c r="P8" s="92">
        <f>INDEX(tbl_learners_info[24],MATCH(Lookup_Student_Name,tbl_learners_info[Student Name],0),1)</f>
        <v>90</v>
      </c>
      <c r="Q8"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84</v>
      </c>
      <c r="R8"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90</v>
      </c>
      <c r="S8" t="str">
        <f>IF(tbl_first_sem_list_of_subjects[[#This Row],[Qtr 1 Grades]]="sub_taken","completed",
IF(tbl_first_sem_list_of_subjects[[#This Row],[Subject Category ]]&lt;&gt;"","on-going","")
)</f>
        <v>on-going</v>
      </c>
      <c r="T8" t="str">
        <f>IF(tbl_first_sem_list_of_subjects[[#This Row],[Qtr 2 Grades]]="sub_taken","completed",
IF(tbl_first_sem_list_of_subjects[[#This Row],[Subject Category ]]&lt;&gt;"","on-going","")
)</f>
        <v>on-going</v>
      </c>
      <c r="U8" s="127" t="str">
        <f>IF(AND(tbl_first_sem_list_of_subjects[[#This Row],[Qtr 1 Remarks]]="on-going",tbl_first_sem_list_of_subjects[[#This Row],[Qtr 2 Remarks]]="on-going"),"ISTAKEN"&amp;tbl_first_sem_list_of_subjects[[#This Row],[Subject Category ]],"")</f>
        <v>ISTAKENAPPLIED</v>
      </c>
      <c r="V8" s="127">
        <f>IF(AND(tbl_first_sem_list_of_subjects[[#This Row],[Qtr 1 final grade]]&gt;50,tbl_first_sem_list_of_subjects[[#This Row],[Qtr 2 final grade]]&gt;50),ROUND(AVERAGE(tbl_first_sem_list_of_subjects[[#This Row],[Qtr 1 final grade]:[Qtr 2 final grade]]),0),0)</f>
        <v>87</v>
      </c>
      <c r="W8" t="str">
        <f>IF(tbl_first_sem_list_of_subjects[[#This Row],[Sem1 Final Grades]]&gt;=75,"PASSED",IF(tbl_first_sem_list_of_subjects[[#This Row],[Sem1 Final Grades]]&lt;&gt;0,"FAILED",""))</f>
        <v>PASSED</v>
      </c>
    </row>
    <row r="9" spans="2:23" x14ac:dyDescent="0.3">
      <c r="B9" s="28" t="s">
        <v>92</v>
      </c>
      <c r="G9" s="24"/>
      <c r="L9" s="68">
        <v>6</v>
      </c>
      <c r="M9" s="68" t="str" cm="1">
        <f t="array" ref="M9">IFERROR(INDEX(tbl_subjects[SUBJECTS],MATCH("FIRST"&amp;tbl_first_sem_list_of_subjects[[#This Row],[Sort Order]],tbl_subjects[SEMESTER]&amp;tbl_subjects[SORT ORDER],0),1),"")</f>
        <v>Automotive Servicing</v>
      </c>
      <c r="N9" t="str">
        <f>IFERROR(INDEX(tbl_subjects[SUBJECT CATEGORY],MATCH(tbl_first_sem_list_of_subjects[[#This Row],[First Semester Subjects]],tbl_subjects[SUBJECTS],0),1),"")</f>
        <v>SPECIALIZED</v>
      </c>
      <c r="O9" s="92">
        <f>INDEX(tbl_learners_info[15],MATCH(Lookup_Student_Name,tbl_learners_info[Student Name],0),1)</f>
        <v>82</v>
      </c>
      <c r="P9" s="92">
        <f>INDEX(tbl_learners_info[25],MATCH(Lookup_Student_Name,tbl_learners_info[Student Name],0),1)</f>
        <v>87</v>
      </c>
      <c r="Q9"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82</v>
      </c>
      <c r="R9"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87</v>
      </c>
      <c r="S9" t="str">
        <f>IF(tbl_first_sem_list_of_subjects[[#This Row],[Qtr 1 Grades]]="sub_taken","completed",
IF(tbl_first_sem_list_of_subjects[[#This Row],[Subject Category ]]&lt;&gt;"","on-going","")
)</f>
        <v>on-going</v>
      </c>
      <c r="T9" t="str">
        <f>IF(tbl_first_sem_list_of_subjects[[#This Row],[Qtr 2 Grades]]="sub_taken","completed",
IF(tbl_first_sem_list_of_subjects[[#This Row],[Subject Category ]]&lt;&gt;"","on-going","")
)</f>
        <v>on-going</v>
      </c>
      <c r="U9" s="127" t="str">
        <f>IF(AND(tbl_first_sem_list_of_subjects[[#This Row],[Qtr 1 Remarks]]="on-going",tbl_first_sem_list_of_subjects[[#This Row],[Qtr 2 Remarks]]="on-going"),"ISTAKEN"&amp;tbl_first_sem_list_of_subjects[[#This Row],[Subject Category ]],"")</f>
        <v>ISTAKENSPECIALIZED</v>
      </c>
      <c r="V9" s="127">
        <f>IF(AND(tbl_first_sem_list_of_subjects[[#This Row],[Qtr 1 final grade]]&gt;50,tbl_first_sem_list_of_subjects[[#This Row],[Qtr 2 final grade]]&gt;50),ROUND(AVERAGE(tbl_first_sem_list_of_subjects[[#This Row],[Qtr 1 final grade]:[Qtr 2 final grade]]),0),0)</f>
        <v>85</v>
      </c>
      <c r="W9" t="str">
        <f>IF(tbl_first_sem_list_of_subjects[[#This Row],[Sem1 Final Grades]]&gt;=75,"PASSED",IF(tbl_first_sem_list_of_subjects[[#This Row],[Sem1 Final Grades]]&lt;&gt;0,"FAILED",""))</f>
        <v>PASSED</v>
      </c>
    </row>
    <row r="10" spans="2:23" x14ac:dyDescent="0.3">
      <c r="B10" s="30" t="s">
        <v>0</v>
      </c>
      <c r="C10" s="166" t="str">
        <f>IFERROR(INDEX(tbl_learners_info[Last Name],MATCH(Lookup_Student_Name,tbl_learners_info[Student Name],0),1),"")</f>
        <v>ROBBIE</v>
      </c>
      <c r="E10"/>
      <c r="F10"/>
      <c r="G10" s="24"/>
      <c r="L10" s="68">
        <v>7</v>
      </c>
      <c r="M10" s="68" t="str" cm="1">
        <f t="array" ref="M10">IFERROR(INDEX(tbl_subjects[SUBJECTS],MATCH("FIRST"&amp;tbl_first_sem_list_of_subjects[[#This Row],[Sort Order]],tbl_subjects[SEMESTER]&amp;tbl_subjects[SORT ORDER],0),1),"")</f>
        <v/>
      </c>
      <c r="N10" t="str">
        <f>IFERROR(INDEX(tbl_subjects[SUBJECT CATEGORY],MATCH(tbl_first_sem_list_of_subjects[[#This Row],[First Semester Subjects]],tbl_subjects[SUBJECTS],0),1),"")</f>
        <v/>
      </c>
      <c r="O10" s="92">
        <f>INDEX(tbl_learners_info[16],MATCH(Lookup_Student_Name,tbl_learners_info[Student Name],0),1)</f>
        <v>0</v>
      </c>
      <c r="P10" s="92">
        <f>INDEX(tbl_learners_info[26],MATCH(Lookup_Student_Name,tbl_learners_info[Student Name],0),1)</f>
        <v>0</v>
      </c>
      <c r="Q10"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0</v>
      </c>
      <c r="R10"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0</v>
      </c>
      <c r="S10" t="str">
        <f>IF(tbl_first_sem_list_of_subjects[[#This Row],[Qtr 1 Grades]]="sub_taken","completed",
IF(tbl_first_sem_list_of_subjects[[#This Row],[Subject Category ]]&lt;&gt;"","on-going","")
)</f>
        <v/>
      </c>
      <c r="T10" t="str">
        <f>IF(tbl_first_sem_list_of_subjects[[#This Row],[Qtr 2 Grades]]="sub_taken","completed",
IF(tbl_first_sem_list_of_subjects[[#This Row],[Subject Category ]]&lt;&gt;"","on-going","")
)</f>
        <v/>
      </c>
      <c r="U10" s="127" t="str">
        <f>IF(AND(tbl_first_sem_list_of_subjects[[#This Row],[Qtr 1 Remarks]]="on-going",tbl_first_sem_list_of_subjects[[#This Row],[Qtr 2 Remarks]]="on-going"),"ISTAKEN"&amp;tbl_first_sem_list_of_subjects[[#This Row],[Subject Category ]],"")</f>
        <v/>
      </c>
      <c r="V10" s="127">
        <f>IF(AND(tbl_first_sem_list_of_subjects[[#This Row],[Qtr 1 final grade]]&gt;50,tbl_first_sem_list_of_subjects[[#This Row],[Qtr 2 final grade]]&gt;50),ROUND(AVERAGE(tbl_first_sem_list_of_subjects[[#This Row],[Qtr 1 final grade]:[Qtr 2 final grade]]),0),0)</f>
        <v>0</v>
      </c>
      <c r="W10" t="str">
        <f>IF(tbl_first_sem_list_of_subjects[[#This Row],[Sem1 Final Grades]]&gt;=75,"PASSED",IF(tbl_first_sem_list_of_subjects[[#This Row],[Sem1 Final Grades]]&lt;&gt;0,"FAILED",""))</f>
        <v/>
      </c>
    </row>
    <row r="11" spans="2:23" x14ac:dyDescent="0.3">
      <c r="B11" s="30" t="s">
        <v>1</v>
      </c>
      <c r="C11" s="166" t="str">
        <f>IFERROR(INDEX(tbl_learners_info[First Name],MATCH(Lookup_Student_Name,tbl_learners_info[Student Name],0),1),"")</f>
        <v>MARGOT</v>
      </c>
      <c r="G11" s="24"/>
      <c r="L11" s="68">
        <v>8</v>
      </c>
      <c r="M11" s="68" t="str" cm="1">
        <f t="array" ref="M11">IFERROR(INDEX(tbl_subjects[SUBJECTS],MATCH("FIRST"&amp;tbl_first_sem_list_of_subjects[[#This Row],[Sort Order]],tbl_subjects[SEMESTER]&amp;tbl_subjects[SORT ORDER],0),1),"")</f>
        <v/>
      </c>
      <c r="N11" t="str">
        <f>IFERROR(INDEX(tbl_subjects[SUBJECT CATEGORY],MATCH(tbl_first_sem_list_of_subjects[[#This Row],[First Semester Subjects]],tbl_subjects[SUBJECTS],0),1),"")</f>
        <v/>
      </c>
      <c r="O11" s="92">
        <f>INDEX(tbl_learners_info[17],MATCH(Lookup_Student_Name,tbl_learners_info[Student Name],0),1)</f>
        <v>0</v>
      </c>
      <c r="P11" s="92">
        <f>INDEX(tbl_learners_info[27],MATCH(Lookup_Student_Name,tbl_learners_info[Student Name],0),1)</f>
        <v>0</v>
      </c>
      <c r="Q11"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0</v>
      </c>
      <c r="R11"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0</v>
      </c>
      <c r="S11" t="str">
        <f>IF(tbl_first_sem_list_of_subjects[[#This Row],[Qtr 1 Grades]]="sub_taken","completed",
IF(tbl_first_sem_list_of_subjects[[#This Row],[Subject Category ]]&lt;&gt;"","on-going","")
)</f>
        <v/>
      </c>
      <c r="T11" t="str">
        <f>IF(tbl_first_sem_list_of_subjects[[#This Row],[Qtr 2 Grades]]="sub_taken","completed",
IF(tbl_first_sem_list_of_subjects[[#This Row],[Subject Category ]]&lt;&gt;"","on-going","")
)</f>
        <v/>
      </c>
      <c r="U11" s="127" t="str">
        <f>IF(AND(tbl_first_sem_list_of_subjects[[#This Row],[Qtr 1 Remarks]]="on-going",tbl_first_sem_list_of_subjects[[#This Row],[Qtr 2 Remarks]]="on-going"),"ISTAKEN"&amp;tbl_first_sem_list_of_subjects[[#This Row],[Subject Category ]],"")</f>
        <v/>
      </c>
      <c r="V11" s="127">
        <f>IF(AND(tbl_first_sem_list_of_subjects[[#This Row],[Qtr 1 final grade]]&gt;50,tbl_first_sem_list_of_subjects[[#This Row],[Qtr 2 final grade]]&gt;50),ROUND(AVERAGE(tbl_first_sem_list_of_subjects[[#This Row],[Qtr 1 final grade]:[Qtr 2 final grade]]),0),0)</f>
        <v>0</v>
      </c>
      <c r="W11" t="str">
        <f>IF(tbl_first_sem_list_of_subjects[[#This Row],[Sem1 Final Grades]]&gt;=75,"PASSED",IF(tbl_first_sem_list_of_subjects[[#This Row],[Sem1 Final Grades]]&lt;&gt;0,"FAILED",""))</f>
        <v/>
      </c>
    </row>
    <row r="12" spans="2:23" x14ac:dyDescent="0.3">
      <c r="B12" s="30" t="s">
        <v>3</v>
      </c>
      <c r="C12" s="166" t="str">
        <f>IFERROR(INDEX(tbl_learners_info[Middle Name],MATCH(Lookup_Student_Name,tbl_learners_info[Student Name],0),1),0)</f>
        <v>ELIZABETH</v>
      </c>
      <c r="E12" s="90" t="s">
        <v>133</v>
      </c>
      <c r="F12"/>
      <c r="G12"/>
      <c r="L12" s="68">
        <v>9</v>
      </c>
      <c r="M12" s="68" t="str" cm="1">
        <f t="array" ref="M12">IFERROR(INDEX(tbl_subjects[SUBJECTS],MATCH("FIRST"&amp;tbl_first_sem_list_of_subjects[[#This Row],[Sort Order]],tbl_subjects[SEMESTER]&amp;tbl_subjects[SORT ORDER],0),1),"")</f>
        <v/>
      </c>
      <c r="N12" t="str">
        <f>IFERROR(INDEX(tbl_subjects[SUBJECT CATEGORY],MATCH(tbl_first_sem_list_of_subjects[[#This Row],[First Semester Subjects]],tbl_subjects[SUBJECTS],0),1),"")</f>
        <v/>
      </c>
      <c r="O12" s="92">
        <f>INDEX(tbl_learners_info[18],MATCH(Lookup_Student_Name,tbl_learners_info[Student Name],0),1)</f>
        <v>0</v>
      </c>
      <c r="P12" s="92">
        <f>INDEX(tbl_learners_info[28],MATCH(Lookup_Student_Name,tbl_learners_info[Student Name],0),1)</f>
        <v>0</v>
      </c>
      <c r="Q12"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0</v>
      </c>
      <c r="R12"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0</v>
      </c>
      <c r="S12" t="str">
        <f>IF(tbl_first_sem_list_of_subjects[[#This Row],[Qtr 1 Grades]]="sub_taken","completed",
IF(tbl_first_sem_list_of_subjects[[#This Row],[Subject Category ]]&lt;&gt;"","on-going","")
)</f>
        <v/>
      </c>
      <c r="T12" t="str">
        <f>IF(tbl_first_sem_list_of_subjects[[#This Row],[Qtr 2 Grades]]="sub_taken","completed",
IF(tbl_first_sem_list_of_subjects[[#This Row],[Subject Category ]]&lt;&gt;"","on-going","")
)</f>
        <v/>
      </c>
      <c r="U12" s="127" t="str">
        <f>IF(AND(tbl_first_sem_list_of_subjects[[#This Row],[Qtr 1 Remarks]]="on-going",tbl_first_sem_list_of_subjects[[#This Row],[Qtr 2 Remarks]]="on-going"),"ISTAKEN"&amp;tbl_first_sem_list_of_subjects[[#This Row],[Subject Category ]],"")</f>
        <v/>
      </c>
      <c r="V12" s="127">
        <f>IF(AND(tbl_first_sem_list_of_subjects[[#This Row],[Qtr 1 final grade]]&gt;50,tbl_first_sem_list_of_subjects[[#This Row],[Qtr 2 final grade]]&gt;50),ROUND(AVERAGE(tbl_first_sem_list_of_subjects[[#This Row],[Qtr 1 final grade]:[Qtr 2 final grade]]),0),0)</f>
        <v>0</v>
      </c>
      <c r="W12" t="str">
        <f>IF(tbl_first_sem_list_of_subjects[[#This Row],[Sem1 Final Grades]]&gt;=75,"PASSED",IF(tbl_first_sem_list_of_subjects[[#This Row],[Sem1 Final Grades]]&lt;&gt;0,"FAILED",""))</f>
        <v/>
      </c>
    </row>
    <row r="13" spans="2:23" ht="15" thickBot="1" x14ac:dyDescent="0.35">
      <c r="B13" s="30" t="s">
        <v>2</v>
      </c>
      <c r="C13" s="18">
        <f>LRN</f>
        <v>127944090258</v>
      </c>
      <c r="D13" s="18"/>
      <c r="E13" s="91" t="s">
        <v>278</v>
      </c>
      <c r="F13"/>
      <c r="G13"/>
      <c r="H13" s="22"/>
      <c r="I13" s="22"/>
      <c r="J13" s="22"/>
      <c r="K13" s="18"/>
      <c r="L13" s="68">
        <v>10</v>
      </c>
      <c r="M13" s="68" t="str" cm="1">
        <f t="array" ref="M13">IFERROR(INDEX(tbl_subjects[SUBJECTS],MATCH("FIRST"&amp;tbl_first_sem_list_of_subjects[[#This Row],[Sort Order]],tbl_subjects[SEMESTER]&amp;tbl_subjects[SORT ORDER],0),1),"")</f>
        <v/>
      </c>
      <c r="N13" t="str">
        <f>IFERROR(INDEX(tbl_subjects[SUBJECT CATEGORY],MATCH(tbl_first_sem_list_of_subjects[[#This Row],[First Semester Subjects]],tbl_subjects[SUBJECTS],0),1),"")</f>
        <v/>
      </c>
      <c r="O13" s="92">
        <f>INDEX(tbl_learners_info[19],MATCH(Lookup_Student_Name,tbl_learners_info[Student Name],0),1)</f>
        <v>0</v>
      </c>
      <c r="P13" s="92">
        <f>INDEX(tbl_learners_info[29],MATCH(Lookup_Student_Name,tbl_learners_info[Student Name],0),1)</f>
        <v>0</v>
      </c>
      <c r="Q13" s="124">
        <f>IF(OR(tbl_first_sem_list_of_subjects[[#This Row],[Qtr 1 Grades]]=0,tbl_first_sem_list_of_subjects[[#This Row],[Qtr 1 Grades]]="",tbl_first_sem_list_of_subjects[[#This Row],[Qtr 1 Grades]]="no_grade",tbl_first_sem_list_of_subjects[[#This Row],[Qtr 1 Grades]]="sub_taken"),0,tbl_first_sem_list_of_subjects[[#This Row],[Qtr 1 Grades]])</f>
        <v>0</v>
      </c>
      <c r="R13" s="125">
        <f>IF(OR(tbl_first_sem_list_of_subjects[[#This Row],[Qtr 2 Grades]]=0,tbl_first_sem_list_of_subjects[[#This Row],[Qtr 2 Grades]]="",tbl_first_sem_list_of_subjects[[#This Row],[Qtr 2 Grades]]="no_grade",tbl_first_sem_list_of_subjects[[#This Row],[Qtr 2 Grades]]="sub_taken"),0,tbl_first_sem_list_of_subjects[[#This Row],[Qtr 2 Grades]])</f>
        <v>0</v>
      </c>
      <c r="S13" t="str">
        <f>IF(tbl_first_sem_list_of_subjects[[#This Row],[Qtr 1 Grades]]="sub_taken","completed",
IF(tbl_first_sem_list_of_subjects[[#This Row],[Subject Category ]]&lt;&gt;"","on-going","")
)</f>
        <v/>
      </c>
      <c r="T13" t="str">
        <f>IF(tbl_first_sem_list_of_subjects[[#This Row],[Qtr 2 Grades]]="sub_taken","completed",
IF(tbl_first_sem_list_of_subjects[[#This Row],[Subject Category ]]&lt;&gt;"","on-going","")
)</f>
        <v/>
      </c>
      <c r="U13" s="128" t="str">
        <f>IF(AND(tbl_first_sem_list_of_subjects[[#This Row],[Qtr 1 Remarks]]="on-going",tbl_first_sem_list_of_subjects[[#This Row],[Qtr 2 Remarks]]="on-going"),"ISTAKEN"&amp;tbl_first_sem_list_of_subjects[[#This Row],[Subject Category ]],"")</f>
        <v/>
      </c>
      <c r="V13" s="128">
        <f>IF(AND(tbl_first_sem_list_of_subjects[[#This Row],[Qtr 1 final grade]]&gt;50,tbl_first_sem_list_of_subjects[[#This Row],[Qtr 2 final grade]]&gt;50),ROUND(AVERAGE(tbl_first_sem_list_of_subjects[[#This Row],[Qtr 1 final grade]:[Qtr 2 final grade]]),0),0)</f>
        <v>0</v>
      </c>
      <c r="W13" t="str">
        <f>IF(tbl_first_sem_list_of_subjects[[#This Row],[Sem1 Final Grades]]&gt;=75,"PASSED",IF(tbl_first_sem_list_of_subjects[[#This Row],[Sem1 Final Grades]]&lt;&gt;0,"FAILED",""))</f>
        <v/>
      </c>
    </row>
    <row r="14" spans="2:23" x14ac:dyDescent="0.3">
      <c r="B14" s="30" t="s">
        <v>80</v>
      </c>
      <c r="C14" s="19">
        <f>IFERROR(INDEX(tbl_learners_info[Date of Birth],MATCH(Lookup_Student_Name,tbl_learners_info[Student Name],0),1),"")</f>
        <v>36585</v>
      </c>
      <c r="D14" s="19"/>
      <c r="E14"/>
      <c r="F14"/>
      <c r="G14"/>
      <c r="H14" s="23"/>
      <c r="I14" s="23"/>
      <c r="J14" s="23"/>
      <c r="K14" s="19"/>
      <c r="L14" s="68"/>
      <c r="M14" s="68"/>
    </row>
    <row r="15" spans="2:23" x14ac:dyDescent="0.3">
      <c r="B15" s="30" t="s">
        <v>4</v>
      </c>
      <c r="C15" s="17" t="str">
        <f>Sex</f>
        <v>FEMALE</v>
      </c>
      <c r="E15"/>
      <c r="F15"/>
      <c r="G15"/>
      <c r="J15" s="21" t="str" cm="1">
        <f t="array" ref="J15">IFERROR(INDEX(subject_range, SMALL(IF(subject_category_range="CORE", ROW(subject_category_range)-MIN(ROW(subject_category_range))+1), ROWS(subject_range)), COLUMN()), "")</f>
        <v/>
      </c>
      <c r="L15" s="68"/>
      <c r="M15" s="68"/>
      <c r="U15" s="113" t="s">
        <v>140</v>
      </c>
      <c r="V15">
        <f>COUNTIF(tbl_first_sem_list_of_subjects[Sem1 Final Grades],"&gt;0")</f>
        <v>6</v>
      </c>
    </row>
    <row r="16" spans="2:23" x14ac:dyDescent="0.3">
      <c r="B16" s="30" t="s">
        <v>81</v>
      </c>
      <c r="C16" s="19">
        <f>IFERROR(INDEX(tbl_learners_info[Date of SHS Admission],MATCH(Lookup_Student_Name,tbl_learners_info[Student Name],0),1),"")</f>
        <v>45168</v>
      </c>
      <c r="D16" s="19"/>
      <c r="E16"/>
      <c r="F16"/>
      <c r="G16"/>
      <c r="H16" s="23"/>
      <c r="I16" s="23"/>
      <c r="J16" s="23"/>
      <c r="K16" s="19"/>
      <c r="U16" s="113" t="s">
        <v>141</v>
      </c>
      <c r="V16" s="92">
        <f>COUNTIF(tbl_first_sem_list_of_subjects[lookup_code],"ISTAKENCORE") + COUNTIF(tbl_first_sem_list_of_subjects[lookup_code],"ISTAKENAPPLIED") + COUNTIF(tbl_first_sem_list_of_subjects[lookup_code],"ISTAKENSPECIALIZED")</f>
        <v>6</v>
      </c>
    </row>
    <row r="17" spans="2:23" x14ac:dyDescent="0.3">
      <c r="E17"/>
      <c r="F17"/>
      <c r="G17"/>
      <c r="U17" s="113" t="s">
        <v>139</v>
      </c>
      <c r="V17">
        <f>IF($V$15=$V$16,ROUND(AVERAGEIF(tbl_first_sem_list_of_subjects[Sem1 Final Grades],"&gt;0",tbl_first_sem_list_of_subjects[Sem1 Final Grades]),0),"")</f>
        <v>82</v>
      </c>
    </row>
    <row r="18" spans="2:23" x14ac:dyDescent="0.3">
      <c r="B18" s="28" t="s">
        <v>91</v>
      </c>
      <c r="C18" s="29"/>
      <c r="E18"/>
      <c r="F18"/>
      <c r="G18"/>
    </row>
    <row r="19" spans="2:23" x14ac:dyDescent="0.3">
      <c r="B19" s="31" t="s">
        <v>82</v>
      </c>
      <c r="C19" s="19" t="str">
        <f>IFERROR(INDEX(tbl_learners_info[Eiligibility for Enrollment],MATCH(Lookup_Student_Name,tbl_learners_info[Student Name],0),1),"")</f>
        <v>JUNIOR HIGH SCHOOL COMPLETER</v>
      </c>
      <c r="D19" s="14"/>
      <c r="E19"/>
      <c r="F19"/>
      <c r="G19"/>
    </row>
    <row r="20" spans="2:23" x14ac:dyDescent="0.3">
      <c r="E20"/>
      <c r="F20"/>
      <c r="G20"/>
    </row>
    <row r="21" spans="2:23" x14ac:dyDescent="0.3">
      <c r="B21" s="28" t="s">
        <v>94</v>
      </c>
      <c r="C21" s="29"/>
      <c r="E21"/>
      <c r="F21"/>
      <c r="G21"/>
    </row>
    <row r="22" spans="2:23" ht="15.6" x14ac:dyDescent="0.3">
      <c r="B22" s="31" t="s">
        <v>95</v>
      </c>
      <c r="C22" s="32" t="str">
        <f>School_Name</f>
        <v>EAST GUSA NATIONAL HIGH SCHOOL</v>
      </c>
      <c r="E22"/>
      <c r="F22"/>
      <c r="G22"/>
    </row>
    <row r="23" spans="2:23" ht="16.2" thickBot="1" x14ac:dyDescent="0.35">
      <c r="B23" s="31" t="s">
        <v>52</v>
      </c>
      <c r="C23" s="33">
        <f>School_ID</f>
        <v>315407</v>
      </c>
      <c r="E23"/>
      <c r="F23"/>
      <c r="G23"/>
    </row>
    <row r="24" spans="2:23" ht="15.6" x14ac:dyDescent="0.3">
      <c r="B24" s="31" t="s">
        <v>54</v>
      </c>
      <c r="C24" s="33">
        <f>Grade_Level</f>
        <v>12</v>
      </c>
      <c r="E24"/>
      <c r="F24"/>
      <c r="G24"/>
      <c r="I24" s="21" t="str" cm="1">
        <f t="array" ref="I24">IFERROR(INDEX(subject_range,SMALL(IF(subject_category_range="CORE", ROW(subject_category_range)-(MIN(ROW(subject_category_range))-1)),ROW(A8)),1),"")</f>
        <v/>
      </c>
      <c r="L24" t="s">
        <v>99</v>
      </c>
      <c r="M24" t="s">
        <v>162</v>
      </c>
      <c r="N24" t="s">
        <v>102</v>
      </c>
      <c r="O24" s="92" t="s">
        <v>185</v>
      </c>
      <c r="P24" s="119" t="s">
        <v>186</v>
      </c>
      <c r="Q24" s="120" t="s">
        <v>187</v>
      </c>
      <c r="R24" s="121" t="s">
        <v>188</v>
      </c>
      <c r="S24" t="s">
        <v>190</v>
      </c>
      <c r="T24" t="s">
        <v>191</v>
      </c>
      <c r="U24" s="126" t="s">
        <v>134</v>
      </c>
      <c r="V24" s="126" t="s">
        <v>189</v>
      </c>
      <c r="W24" t="s">
        <v>64</v>
      </c>
    </row>
    <row r="25" spans="2:23" ht="15.6" x14ac:dyDescent="0.3">
      <c r="B25" s="31" t="s">
        <v>41</v>
      </c>
      <c r="C25" s="33" t="str">
        <f>School_Year</f>
        <v>2023-2024</v>
      </c>
      <c r="E25"/>
      <c r="F25"/>
      <c r="G25"/>
      <c r="I25" s="21" t="str" cm="1">
        <f t="array" ref="I25">IFERROR(INDEX(subject_range,SMALL(IF(subject_category_range="CORE", ROW(subject_category_range)-(MIN(ROW(subject_category_range))-1)),ROW(A9)),1),"")</f>
        <v/>
      </c>
      <c r="L25">
        <v>1</v>
      </c>
      <c r="M25" t="str" cm="1">
        <f t="array" ref="M25">IFERROR(INDEX(tbl_subjects[SUBJECTS],MATCH("SECOND"&amp;tbl_second_sem_list_of_subjects[[#This Row],[Sort Order]],tbl_subjects[SEMESTER]&amp;tbl_subjects[SORT ORDER],0),1),"")</f>
        <v>Contemporary Philippine Arts from the Regions</v>
      </c>
      <c r="N25" t="str">
        <f>IFERROR(INDEX(tbl_subjects[SUBJECT CATEGORY],MATCH(tbl_second_sem_list_of_subjects[[#This Row],[Second Semester Subjects]],tbl_subjects[SUBJECTS],0),1),"")</f>
        <v>CORE</v>
      </c>
      <c r="O25" s="92">
        <f>INDEX(tbl_learners_info[3a],MATCH(Lookup_Student_Name,tbl_learners_info[Student Name],0),1)</f>
        <v>82</v>
      </c>
      <c r="P25" s="119">
        <f>INDEX(tbl_learners_info[4a],MATCH(Lookup_Student_Name,tbl_learners_info[Student Name],0),1)</f>
        <v>82</v>
      </c>
      <c r="Q25"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82</v>
      </c>
      <c r="R25"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82</v>
      </c>
      <c r="S25" t="str">
        <f>IF(tbl_second_sem_list_of_subjects[[#This Row],[Qtr 3 Grades]]="sub_taken","completed",
IF(tbl_second_sem_list_of_subjects[[#This Row],[Subject Category ]]&lt;&gt;"","on-going","")
)</f>
        <v>on-going</v>
      </c>
      <c r="T25" t="str">
        <f>IF(tbl_second_sem_list_of_subjects[[#This Row],[Qtr 4 Grades]]="sub_taken","completed",
IF(tbl_second_sem_list_of_subjects[[#This Row],[Subject Category ]]&lt;&gt;"","on-going","")
)</f>
        <v>on-going</v>
      </c>
      <c r="U25" s="127" t="str">
        <f>IF(AND(tbl_second_sem_list_of_subjects[[#This Row],[Qtr 3 Remarks]]="on-going",tbl_second_sem_list_of_subjects[[#This Row],[Qtr 4 Remarks]]="on-going"),"ISTAKEN"&amp;tbl_second_sem_list_of_subjects[[#This Row],[Subject Category ]],"")</f>
        <v>ISTAKENCORE</v>
      </c>
      <c r="V25" s="127">
        <f>IF(AND(tbl_second_sem_list_of_subjects[[#This Row],[Qtr 4 final grade]]&gt;50,tbl_second_sem_list_of_subjects[[#This Row],[Qtr 3 final grade]]&gt;50),ROUND(AVERAGE(tbl_second_sem_list_of_subjects[[#This Row],[Qtr 3 final grade]:[Qtr 4 final grade]]),0),0)</f>
        <v>82</v>
      </c>
      <c r="W25" t="str">
        <f>IF(tbl_second_sem_list_of_subjects[[#This Row],[Sem2 Final Grades]]&gt;=75,"PASSED",IF(tbl_second_sem_list_of_subjects[[#This Row],[Sem2 Final Grades]]&lt;&gt;0,"FAILED",""))</f>
        <v>PASSED</v>
      </c>
    </row>
    <row r="26" spans="2:23" ht="15.6" x14ac:dyDescent="0.3">
      <c r="B26" s="31" t="s">
        <v>96</v>
      </c>
      <c r="C26" s="33" t="str">
        <f>UPPER(Track&amp;" - "&amp;Strand)</f>
        <v>TECHNICAL-VOCATIONAL-LIVELIHOOD TRACK  - AUTOMOTIVE SERVICING</v>
      </c>
      <c r="E26"/>
      <c r="F26"/>
      <c r="G26"/>
      <c r="I26" s="21" t="str" cm="1">
        <f t="array" ref="I26">IFERROR(INDEX(subject_range,SMALL(IF(subject_category_range="CORE", ROW(subject_category_range)-(MIN(ROW(subject_category_range))-1)),ROW(A10)),1),"")</f>
        <v/>
      </c>
      <c r="L26">
        <v>2</v>
      </c>
      <c r="M26" t="str" cm="1">
        <f t="array" ref="M26">IFERROR(INDEX(tbl_subjects[SUBJECTS],MATCH("SECOND"&amp;tbl_second_sem_list_of_subjects[[#This Row],[Sort Order]],tbl_subjects[SEMESTER]&amp;tbl_subjects[SORT ORDER],0),1),"")</f>
        <v>Filipino sa Piling Larangan</v>
      </c>
      <c r="N26" t="str">
        <f>IFERROR(INDEX(tbl_subjects[SUBJECT CATEGORY],MATCH(tbl_second_sem_list_of_subjects[[#This Row],[Second Semester Subjects]],tbl_subjects[SUBJECTS],0),1),"")</f>
        <v>CORE</v>
      </c>
      <c r="O26" s="92">
        <f>INDEX(tbl_learners_info[3b],MATCH(Lookup_Student_Name,tbl_learners_info[Student Name],0),1)</f>
        <v>91</v>
      </c>
      <c r="P26" s="119">
        <f>INDEX(tbl_learners_info[4b],MATCH(Lookup_Student_Name,tbl_learners_info[Student Name],0),1)</f>
        <v>82</v>
      </c>
      <c r="Q26"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91</v>
      </c>
      <c r="R26"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82</v>
      </c>
      <c r="S26" t="str">
        <f>IF(tbl_second_sem_list_of_subjects[[#This Row],[Qtr 3 Grades]]="sub_taken","completed",
IF(tbl_second_sem_list_of_subjects[[#This Row],[Subject Category ]]&lt;&gt;"","on-going","")
)</f>
        <v>on-going</v>
      </c>
      <c r="T26" t="str">
        <f>IF(tbl_second_sem_list_of_subjects[[#This Row],[Qtr 4 Grades]]="sub_taken","completed",
IF(tbl_second_sem_list_of_subjects[[#This Row],[Subject Category ]]&lt;&gt;"","on-going","")
)</f>
        <v>on-going</v>
      </c>
      <c r="U26" s="127" t="str">
        <f>IF(AND(tbl_second_sem_list_of_subjects[[#This Row],[Qtr 3 Remarks]]="on-going",tbl_second_sem_list_of_subjects[[#This Row],[Qtr 4 Remarks]]="on-going"),"ISTAKEN"&amp;tbl_second_sem_list_of_subjects[[#This Row],[Subject Category ]],"")</f>
        <v>ISTAKENCORE</v>
      </c>
      <c r="V26" s="127">
        <f>IF(AND(tbl_second_sem_list_of_subjects[[#This Row],[Qtr 4 final grade]]&gt;50,tbl_second_sem_list_of_subjects[[#This Row],[Qtr 3 final grade]]&gt;50),ROUND(AVERAGE(tbl_second_sem_list_of_subjects[[#This Row],[Qtr 3 final grade]:[Qtr 4 final grade]]),0),0)</f>
        <v>87</v>
      </c>
      <c r="W26" t="str">
        <f>IF(tbl_second_sem_list_of_subjects[[#This Row],[Sem2 Final Grades]]&gt;=75,"PASSED",IF(tbl_second_sem_list_of_subjects[[#This Row],[Sem2 Final Grades]]&lt;&gt;0,"FAILED",""))</f>
        <v>PASSED</v>
      </c>
    </row>
    <row r="27" spans="2:23" ht="15.6" x14ac:dyDescent="0.3">
      <c r="B27" s="31" t="s">
        <v>97</v>
      </c>
      <c r="C27" s="33" t="str">
        <f>Section</f>
        <v>AUTOMOTIVE</v>
      </c>
      <c r="E27"/>
      <c r="F27"/>
      <c r="G27"/>
      <c r="L27">
        <v>3</v>
      </c>
      <c r="M27" t="str" cm="1">
        <f t="array" ref="M27">IFERROR(INDEX(tbl_subjects[SUBJECTS],MATCH("SECOND"&amp;tbl_second_sem_list_of_subjects[[#This Row],[Sort Order]],tbl_subjects[SEMESTER]&amp;tbl_subjects[SORT ORDER],0),1),"")</f>
        <v>Media and Information Literacy</v>
      </c>
      <c r="N27" t="str">
        <f>IFERROR(INDEX(tbl_subjects[SUBJECT CATEGORY],MATCH(tbl_second_sem_list_of_subjects[[#This Row],[Second Semester Subjects]],tbl_subjects[SUBJECTS],0),1),"")</f>
        <v>CORE</v>
      </c>
      <c r="O27" s="92">
        <f>INDEX(tbl_learners_info[3c],MATCH(Lookup_Student_Name,tbl_learners_info[Student Name],0),1)</f>
        <v>82</v>
      </c>
      <c r="P27" s="119">
        <f>INDEX(tbl_learners_info[4c],MATCH(Lookup_Student_Name,tbl_learners_info[Student Name],0),1)</f>
        <v>84</v>
      </c>
      <c r="Q27"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82</v>
      </c>
      <c r="R27"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84</v>
      </c>
      <c r="S27" t="str">
        <f>IF(tbl_second_sem_list_of_subjects[[#This Row],[Qtr 3 Grades]]="sub_taken","completed",
IF(tbl_second_sem_list_of_subjects[[#This Row],[Subject Category ]]&lt;&gt;"","on-going","")
)</f>
        <v>on-going</v>
      </c>
      <c r="T27" t="str">
        <f>IF(tbl_second_sem_list_of_subjects[[#This Row],[Qtr 4 Grades]]="sub_taken","completed",
IF(tbl_second_sem_list_of_subjects[[#This Row],[Subject Category ]]&lt;&gt;"","on-going","")
)</f>
        <v>on-going</v>
      </c>
      <c r="U27" s="127" t="str">
        <f>IF(AND(tbl_second_sem_list_of_subjects[[#This Row],[Qtr 3 Remarks]]="on-going",tbl_second_sem_list_of_subjects[[#This Row],[Qtr 4 Remarks]]="on-going"),"ISTAKEN"&amp;tbl_second_sem_list_of_subjects[[#This Row],[Subject Category ]],"")</f>
        <v>ISTAKENCORE</v>
      </c>
      <c r="V27" s="127">
        <f>IF(AND(tbl_second_sem_list_of_subjects[[#This Row],[Qtr 4 final grade]]&gt;50,tbl_second_sem_list_of_subjects[[#This Row],[Qtr 3 final grade]]&gt;50),ROUND(AVERAGE(tbl_second_sem_list_of_subjects[[#This Row],[Qtr 3 final grade]:[Qtr 4 final grade]]),0),0)</f>
        <v>83</v>
      </c>
      <c r="W27" t="str">
        <f>IF(tbl_second_sem_list_of_subjects[[#This Row],[Sem2 Final Grades]]&gt;=75,"PASSED",IF(tbl_second_sem_list_of_subjects[[#This Row],[Sem2 Final Grades]]&lt;&gt;0,"FAILED",""))</f>
        <v>PASSED</v>
      </c>
    </row>
    <row r="28" spans="2:23" ht="15.6" x14ac:dyDescent="0.3">
      <c r="B28" s="31" t="s">
        <v>12</v>
      </c>
      <c r="C28" s="33" t="str">
        <f>Adviser</f>
        <v>JAMES RHODE E. SALAC</v>
      </c>
      <c r="E28"/>
      <c r="F28"/>
      <c r="G28"/>
      <c r="L28">
        <v>4</v>
      </c>
      <c r="M28" t="str" cm="1">
        <f t="array" ref="M28">IFERROR(INDEX(tbl_subjects[SUBJECTS],MATCH("SECOND"&amp;tbl_second_sem_list_of_subjects[[#This Row],[Sort Order]],tbl_subjects[SEMESTER]&amp;tbl_subjects[SORT ORDER],0),1),"")</f>
        <v>Physical Education and Health IV</v>
      </c>
      <c r="N28" t="str">
        <f>IFERROR(INDEX(tbl_subjects[SUBJECT CATEGORY],MATCH(tbl_second_sem_list_of_subjects[[#This Row],[Second Semester Subjects]],tbl_subjects[SUBJECTS],0),1),"")</f>
        <v>CORE</v>
      </c>
      <c r="O28" s="92">
        <f>INDEX(tbl_learners_info[3d],MATCH(Lookup_Student_Name,tbl_learners_info[Student Name],0),1)</f>
        <v>86</v>
      </c>
      <c r="P28" s="119">
        <f>INDEX(tbl_learners_info[4d],MATCH(Lookup_Student_Name,tbl_learners_info[Student Name],0),1)</f>
        <v>82</v>
      </c>
      <c r="Q28"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86</v>
      </c>
      <c r="R28"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82</v>
      </c>
      <c r="S28" t="str">
        <f>IF(tbl_second_sem_list_of_subjects[[#This Row],[Qtr 3 Grades]]="sub_taken","completed",
IF(tbl_second_sem_list_of_subjects[[#This Row],[Subject Category ]]&lt;&gt;"","on-going","")
)</f>
        <v>on-going</v>
      </c>
      <c r="T28" t="str">
        <f>IF(tbl_second_sem_list_of_subjects[[#This Row],[Qtr 4 Grades]]="sub_taken","completed",
IF(tbl_second_sem_list_of_subjects[[#This Row],[Subject Category ]]&lt;&gt;"","on-going","")
)</f>
        <v>on-going</v>
      </c>
      <c r="U28" s="127" t="str">
        <f>IF(AND(tbl_second_sem_list_of_subjects[[#This Row],[Qtr 3 Remarks]]="on-going",tbl_second_sem_list_of_subjects[[#This Row],[Qtr 4 Remarks]]="on-going"),"ISTAKEN"&amp;tbl_second_sem_list_of_subjects[[#This Row],[Subject Category ]],"")</f>
        <v>ISTAKENCORE</v>
      </c>
      <c r="V28" s="127">
        <f>IF(AND(tbl_second_sem_list_of_subjects[[#This Row],[Qtr 4 final grade]]&gt;50,tbl_second_sem_list_of_subjects[[#This Row],[Qtr 3 final grade]]&gt;50),ROUND(AVERAGE(tbl_second_sem_list_of_subjects[[#This Row],[Qtr 3 final grade]:[Qtr 4 final grade]]),0),0)</f>
        <v>84</v>
      </c>
      <c r="W28" t="str">
        <f>IF(tbl_second_sem_list_of_subjects[[#This Row],[Sem2 Final Grades]]&gt;=75,"PASSED",IF(tbl_second_sem_list_of_subjects[[#This Row],[Sem2 Final Grades]]&lt;&gt;0,"FAILED",""))</f>
        <v>PASSED</v>
      </c>
    </row>
    <row r="29" spans="2:23" ht="15.6" x14ac:dyDescent="0.3">
      <c r="B29" s="31" t="s">
        <v>16</v>
      </c>
      <c r="C29" s="33" t="str">
        <f>School_Principal</f>
        <v>JUAN DELA CRUZ</v>
      </c>
      <c r="E29"/>
      <c r="F29"/>
      <c r="G29"/>
      <c r="L29">
        <v>5</v>
      </c>
      <c r="M29" t="str" cm="1">
        <f t="array" ref="M29">IFERROR(INDEX(tbl_subjects[SUBJECTS],MATCH("SECOND"&amp;tbl_second_sem_list_of_subjects[[#This Row],[Sort Order]],tbl_subjects[SEMESTER]&amp;tbl_subjects[SORT ORDER],0),1),"")</f>
        <v>Entreprenuership</v>
      </c>
      <c r="N29" t="str">
        <f>IFERROR(INDEX(tbl_subjects[SUBJECT CATEGORY],MATCH(tbl_second_sem_list_of_subjects[[#This Row],[Second Semester Subjects]],tbl_subjects[SUBJECTS],0),1),"")</f>
        <v>APPLIED</v>
      </c>
      <c r="O29" s="92">
        <f>INDEX(tbl_learners_info[3e],MATCH(Lookup_Student_Name,tbl_learners_info[Student Name],0),1)</f>
        <v>75</v>
      </c>
      <c r="P29" s="119">
        <f>INDEX(tbl_learners_info[4e],MATCH(Lookup_Student_Name,tbl_learners_info[Student Name],0),1)</f>
        <v>84</v>
      </c>
      <c r="Q29"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75</v>
      </c>
      <c r="R29"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84</v>
      </c>
      <c r="S29" t="str">
        <f>IF(tbl_second_sem_list_of_subjects[[#This Row],[Qtr 3 Grades]]="sub_taken","completed",
IF(tbl_second_sem_list_of_subjects[[#This Row],[Subject Category ]]&lt;&gt;"","on-going","")
)</f>
        <v>on-going</v>
      </c>
      <c r="T29" t="str">
        <f>IF(tbl_second_sem_list_of_subjects[[#This Row],[Qtr 4 Grades]]="sub_taken","completed",
IF(tbl_second_sem_list_of_subjects[[#This Row],[Subject Category ]]&lt;&gt;"","on-going","")
)</f>
        <v>on-going</v>
      </c>
      <c r="U29" s="127" t="str">
        <f>IF(AND(tbl_second_sem_list_of_subjects[[#This Row],[Qtr 3 Remarks]]="on-going",tbl_second_sem_list_of_subjects[[#This Row],[Qtr 4 Remarks]]="on-going"),"ISTAKEN"&amp;tbl_second_sem_list_of_subjects[[#This Row],[Subject Category ]],"")</f>
        <v>ISTAKENAPPLIED</v>
      </c>
      <c r="V29" s="127">
        <f>IF(AND(tbl_second_sem_list_of_subjects[[#This Row],[Qtr 4 final grade]]&gt;50,tbl_second_sem_list_of_subjects[[#This Row],[Qtr 3 final grade]]&gt;50),ROUND(AVERAGE(tbl_second_sem_list_of_subjects[[#This Row],[Qtr 3 final grade]:[Qtr 4 final grade]]),0),0)</f>
        <v>80</v>
      </c>
      <c r="W29" t="str">
        <f>IF(tbl_second_sem_list_of_subjects[[#This Row],[Sem2 Final Grades]]&gt;=75,"PASSED",IF(tbl_second_sem_list_of_subjects[[#This Row],[Sem2 Final Grades]]&lt;&gt;0,"FAILED",""))</f>
        <v>PASSED</v>
      </c>
    </row>
    <row r="30" spans="2:23" x14ac:dyDescent="0.3">
      <c r="E30"/>
      <c r="L30">
        <v>6</v>
      </c>
      <c r="M30" t="str" cm="1">
        <f t="array" ref="M30">IFERROR(INDEX(tbl_subjects[SUBJECTS],MATCH("SECOND"&amp;tbl_second_sem_list_of_subjects[[#This Row],[Sort Order]],tbl_subjects[SEMESTER]&amp;tbl_subjects[SORT ORDER],0),1),"")</f>
        <v>Inquiries, Investigations and Immersion</v>
      </c>
      <c r="N30" t="str">
        <f>IFERROR(INDEX(tbl_subjects[SUBJECT CATEGORY],MATCH(tbl_second_sem_list_of_subjects[[#This Row],[Second Semester Subjects]],tbl_subjects[SUBJECTS],0),1),"")</f>
        <v>SPECIALIZED</v>
      </c>
      <c r="O30" s="92">
        <f>INDEX(tbl_learners_info[3f],MATCH(Lookup_Student_Name,tbl_learners_info[Student Name],0),1)</f>
        <v>86</v>
      </c>
      <c r="P30" s="119">
        <f>INDEX(tbl_learners_info[4f],MATCH(Lookup_Student_Name,tbl_learners_info[Student Name],0),1)</f>
        <v>84</v>
      </c>
      <c r="Q30"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86</v>
      </c>
      <c r="R30"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84</v>
      </c>
      <c r="S30" t="str">
        <f>IF(tbl_second_sem_list_of_subjects[[#This Row],[Qtr 3 Grades]]="sub_taken","completed",
IF(tbl_second_sem_list_of_subjects[[#This Row],[Subject Category ]]&lt;&gt;"","on-going","")
)</f>
        <v>on-going</v>
      </c>
      <c r="T30" t="str">
        <f>IF(tbl_second_sem_list_of_subjects[[#This Row],[Qtr 4 Grades]]="sub_taken","completed",
IF(tbl_second_sem_list_of_subjects[[#This Row],[Subject Category ]]&lt;&gt;"","on-going","")
)</f>
        <v>on-going</v>
      </c>
      <c r="U30" s="127" t="str">
        <f>IF(AND(tbl_second_sem_list_of_subjects[[#This Row],[Qtr 3 Remarks]]="on-going",tbl_second_sem_list_of_subjects[[#This Row],[Qtr 4 Remarks]]="on-going"),"ISTAKEN"&amp;tbl_second_sem_list_of_subjects[[#This Row],[Subject Category ]],"")</f>
        <v>ISTAKENSPECIALIZED</v>
      </c>
      <c r="V30" s="127">
        <f>IF(AND(tbl_second_sem_list_of_subjects[[#This Row],[Qtr 4 final grade]]&gt;50,tbl_second_sem_list_of_subjects[[#This Row],[Qtr 3 final grade]]&gt;50),ROUND(AVERAGE(tbl_second_sem_list_of_subjects[[#This Row],[Qtr 3 final grade]:[Qtr 4 final grade]]),0),0)</f>
        <v>85</v>
      </c>
      <c r="W30" t="str">
        <f>IF(tbl_second_sem_list_of_subjects[[#This Row],[Sem2 Final Grades]]&gt;=75,"PASSED",IF(tbl_second_sem_list_of_subjects[[#This Row],[Sem2 Final Grades]]&lt;&gt;0,"FAILED",""))</f>
        <v>PASSED</v>
      </c>
    </row>
    <row r="31" spans="2:23" x14ac:dyDescent="0.3">
      <c r="E31"/>
      <c r="L31">
        <v>7</v>
      </c>
      <c r="M31" t="str" cm="1">
        <f t="array" ref="M31">IFERROR(INDEX(tbl_subjects[SUBJECTS],MATCH("SECOND"&amp;tbl_second_sem_list_of_subjects[[#This Row],[Sort Order]],tbl_subjects[SEMESTER]&amp;tbl_subjects[SORT ORDER],0),1),"")</f>
        <v>Work Immersion</v>
      </c>
      <c r="N31" t="str">
        <f>IFERROR(INDEX(tbl_subjects[SUBJECT CATEGORY],MATCH(tbl_second_sem_list_of_subjects[[#This Row],[Second Semester Subjects]],tbl_subjects[SUBJECTS],0),1),"")</f>
        <v>SPECIALIZED</v>
      </c>
      <c r="O31" s="92">
        <f>INDEX(tbl_learners_info[3g],MATCH(Lookup_Student_Name,tbl_learners_info[Student Name],0),1)</f>
        <v>84</v>
      </c>
      <c r="P31" s="119">
        <f>INDEX(tbl_learners_info[4g],MATCH(Lookup_Student_Name,tbl_learners_info[Student Name],0),1)</f>
        <v>83</v>
      </c>
      <c r="Q31"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84</v>
      </c>
      <c r="R31"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83</v>
      </c>
      <c r="S31" t="str">
        <f>IF(tbl_second_sem_list_of_subjects[[#This Row],[Qtr 3 Grades]]="sub_taken","completed",
IF(tbl_second_sem_list_of_subjects[[#This Row],[Subject Category ]]&lt;&gt;"","on-going","")
)</f>
        <v>on-going</v>
      </c>
      <c r="T31" t="str">
        <f>IF(tbl_second_sem_list_of_subjects[[#This Row],[Qtr 4 Grades]]="sub_taken","completed",
IF(tbl_second_sem_list_of_subjects[[#This Row],[Subject Category ]]&lt;&gt;"","on-going","")
)</f>
        <v>on-going</v>
      </c>
      <c r="U31" s="127" t="str">
        <f>IF(AND(tbl_second_sem_list_of_subjects[[#This Row],[Qtr 3 Remarks]]="on-going",tbl_second_sem_list_of_subjects[[#This Row],[Qtr 4 Remarks]]="on-going"),"ISTAKEN"&amp;tbl_second_sem_list_of_subjects[[#This Row],[Subject Category ]],"")</f>
        <v>ISTAKENSPECIALIZED</v>
      </c>
      <c r="V31" s="127">
        <f>IF(AND(tbl_second_sem_list_of_subjects[[#This Row],[Qtr 4 final grade]]&gt;50,tbl_second_sem_list_of_subjects[[#This Row],[Qtr 3 final grade]]&gt;50),ROUND(AVERAGE(tbl_second_sem_list_of_subjects[[#This Row],[Qtr 3 final grade]:[Qtr 4 final grade]]),0),0)</f>
        <v>84</v>
      </c>
      <c r="W31" t="str">
        <f>IF(tbl_second_sem_list_of_subjects[[#This Row],[Sem2 Final Grades]]&gt;=75,"PASSED",IF(tbl_second_sem_list_of_subjects[[#This Row],[Sem2 Final Grades]]&lt;&gt;0,"FAILED",""))</f>
        <v>PASSED</v>
      </c>
    </row>
    <row r="32" spans="2:23" ht="15.6" x14ac:dyDescent="0.3">
      <c r="B32" s="31" t="s">
        <v>96</v>
      </c>
      <c r="C32" s="33" t="str">
        <f>Track&amp;" - "&amp;Strand</f>
        <v>Technical-Vocational-Livelihood Track  - Automotive Servicing</v>
      </c>
      <c r="E32"/>
      <c r="L32">
        <v>8</v>
      </c>
      <c r="M32" t="str" cm="1">
        <f t="array" ref="M32">IFERROR(INDEX(tbl_subjects[SUBJECTS],MATCH("SECOND"&amp;tbl_second_sem_list_of_subjects[[#This Row],[Sort Order]],tbl_subjects[SEMESTER]&amp;tbl_subjects[SORT ORDER],0),1),"")</f>
        <v/>
      </c>
      <c r="N32" t="str">
        <f>IFERROR(INDEX(tbl_subjects[SUBJECT CATEGORY],MATCH(tbl_second_sem_list_of_subjects[[#This Row],[Second Semester Subjects]],tbl_subjects[SUBJECTS],0),1),"")</f>
        <v/>
      </c>
      <c r="O32" s="92">
        <f>INDEX(tbl_learners_info[3h],MATCH(Lookup_Student_Name,tbl_learners_info[Student Name],0),1)</f>
        <v>0</v>
      </c>
      <c r="P32" s="119">
        <f>INDEX(tbl_learners_info[4h],MATCH(Lookup_Student_Name,tbl_learners_info[Student Name],0),1)</f>
        <v>0</v>
      </c>
      <c r="Q32"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0</v>
      </c>
      <c r="R32"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0</v>
      </c>
      <c r="S32" t="str">
        <f>IF(tbl_second_sem_list_of_subjects[[#This Row],[Qtr 3 Grades]]="sub_taken","completed",
IF(tbl_second_sem_list_of_subjects[[#This Row],[Subject Category ]]&lt;&gt;"","on-going","")
)</f>
        <v/>
      </c>
      <c r="T32" t="str">
        <f>IF(tbl_second_sem_list_of_subjects[[#This Row],[Qtr 4 Grades]]="sub_taken","completed",
IF(tbl_second_sem_list_of_subjects[[#This Row],[Subject Category ]]&lt;&gt;"","on-going","")
)</f>
        <v/>
      </c>
      <c r="U32" s="127" t="str">
        <f>IF(AND(tbl_second_sem_list_of_subjects[[#This Row],[Qtr 3 Remarks]]="on-going",tbl_second_sem_list_of_subjects[[#This Row],[Qtr 4 Remarks]]="on-going"),"ISTAKEN"&amp;tbl_second_sem_list_of_subjects[[#This Row],[Subject Category ]],"")</f>
        <v/>
      </c>
      <c r="V32" s="127">
        <f>IF(AND(tbl_second_sem_list_of_subjects[[#This Row],[Qtr 4 final grade]]&gt;50,tbl_second_sem_list_of_subjects[[#This Row],[Qtr 3 final grade]]&gt;50),ROUND(AVERAGE(tbl_second_sem_list_of_subjects[[#This Row],[Qtr 3 final grade]:[Qtr 4 final grade]]),0),0)</f>
        <v>0</v>
      </c>
      <c r="W32" t="str">
        <f>IF(tbl_second_sem_list_of_subjects[[#This Row],[Sem2 Final Grades]]&gt;=75,"PASSED",IF(tbl_second_sem_list_of_subjects[[#This Row],[Sem2 Final Grades]]&lt;&gt;0,"FAILED",""))</f>
        <v/>
      </c>
    </row>
    <row r="33" spans="2:23" x14ac:dyDescent="0.3">
      <c r="E33"/>
      <c r="L33">
        <v>9</v>
      </c>
      <c r="M33" t="str" cm="1">
        <f t="array" ref="M33">IFERROR(INDEX(tbl_subjects[SUBJECTS],MATCH("SECOND"&amp;tbl_second_sem_list_of_subjects[[#This Row],[Sort Order]],tbl_subjects[SEMESTER]&amp;tbl_subjects[SORT ORDER],0),1),"")</f>
        <v/>
      </c>
      <c r="N33" t="str">
        <f>IFERROR(INDEX(tbl_subjects[SUBJECT CATEGORY],MATCH(tbl_second_sem_list_of_subjects[[#This Row],[Second Semester Subjects]],tbl_subjects[SUBJECTS],0),1),"")</f>
        <v/>
      </c>
      <c r="O33" s="92">
        <f>INDEX(tbl_learners_info[3i],MATCH(Lookup_Student_Name,tbl_learners_info[Student Name],0),1)</f>
        <v>0</v>
      </c>
      <c r="P33" s="119">
        <f>INDEX(tbl_learners_info[4i],MATCH(Lookup_Student_Name,tbl_learners_info[Student Name],0),1)</f>
        <v>0</v>
      </c>
      <c r="Q33"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0</v>
      </c>
      <c r="R33"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0</v>
      </c>
      <c r="S33" t="str">
        <f>IF(tbl_second_sem_list_of_subjects[[#This Row],[Qtr 3 Grades]]="sub_taken","completed",
IF(tbl_second_sem_list_of_subjects[[#This Row],[Subject Category ]]&lt;&gt;"","on-going","")
)</f>
        <v/>
      </c>
      <c r="T33" t="str">
        <f>IF(tbl_second_sem_list_of_subjects[[#This Row],[Qtr 4 Grades]]="sub_taken","completed",
IF(tbl_second_sem_list_of_subjects[[#This Row],[Subject Category ]]&lt;&gt;"","on-going","")
)</f>
        <v/>
      </c>
      <c r="U33" s="127" t="str">
        <f>IF(AND(tbl_second_sem_list_of_subjects[[#This Row],[Qtr 3 Remarks]]="on-going",tbl_second_sem_list_of_subjects[[#This Row],[Qtr 4 Remarks]]="on-going"),"ISTAKEN"&amp;tbl_second_sem_list_of_subjects[[#This Row],[Subject Category ]],"")</f>
        <v/>
      </c>
      <c r="V33" s="127">
        <f>IF(AND(tbl_second_sem_list_of_subjects[[#This Row],[Qtr 4 final grade]]&gt;50,tbl_second_sem_list_of_subjects[[#This Row],[Qtr 3 final grade]]&gt;50),ROUND(AVERAGE(tbl_second_sem_list_of_subjects[[#This Row],[Qtr 3 final grade]:[Qtr 4 final grade]]),0),0)</f>
        <v>0</v>
      </c>
      <c r="W33" t="str">
        <f>IF(tbl_second_sem_list_of_subjects[[#This Row],[Sem2 Final Grades]]&gt;=75,"PASSED",IF(tbl_second_sem_list_of_subjects[[#This Row],[Sem2 Final Grades]]&lt;&gt;0,"FAILED",""))</f>
        <v/>
      </c>
    </row>
    <row r="34" spans="2:23" ht="15" thickBot="1" x14ac:dyDescent="0.35">
      <c r="E34"/>
      <c r="L34">
        <v>10</v>
      </c>
      <c r="M34" t="str" cm="1">
        <f t="array" ref="M34">IFERROR(INDEX(tbl_subjects[SUBJECTS],MATCH("SECOND"&amp;tbl_second_sem_list_of_subjects[[#This Row],[Sort Order]],tbl_subjects[SEMESTER]&amp;tbl_subjects[SORT ORDER],0),1),"")</f>
        <v/>
      </c>
      <c r="N34" t="str">
        <f>IFERROR(INDEX(tbl_subjects[SUBJECT CATEGORY],MATCH(tbl_second_sem_list_of_subjects[[#This Row],[Second Semester Subjects]],tbl_subjects[SUBJECTS],0),1),"")</f>
        <v/>
      </c>
      <c r="O34" s="92">
        <f>INDEX(tbl_learners_info[3j],MATCH(Lookup_Student_Name,tbl_learners_info[Student Name],0),1)</f>
        <v>0</v>
      </c>
      <c r="P34" s="119">
        <f>INDEX(tbl_learners_info[4j],MATCH(Lookup_Student_Name,tbl_learners_info[Student Name],0),1)</f>
        <v>0</v>
      </c>
      <c r="Q34" s="124">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0</v>
      </c>
      <c r="R34" s="125">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0</v>
      </c>
      <c r="S34" t="str">
        <f>IF(tbl_second_sem_list_of_subjects[[#This Row],[Qtr 3 Grades]]="sub_taken","completed",
IF(tbl_second_sem_list_of_subjects[[#This Row],[Subject Category ]]&lt;&gt;"","on-going","")
)</f>
        <v/>
      </c>
      <c r="T34" t="str">
        <f>IF(tbl_second_sem_list_of_subjects[[#This Row],[Qtr 4 Grades]]="sub_taken","completed",
IF(tbl_second_sem_list_of_subjects[[#This Row],[Subject Category ]]&lt;&gt;"","on-going","")
)</f>
        <v/>
      </c>
      <c r="U34" s="128" t="str">
        <f>IF(AND(tbl_second_sem_list_of_subjects[[#This Row],[Qtr 3 Remarks]]="on-going",tbl_second_sem_list_of_subjects[[#This Row],[Qtr 4 Remarks]]="on-going"),"ISTAKEN"&amp;tbl_second_sem_list_of_subjects[[#This Row],[Subject Category ]],"")</f>
        <v/>
      </c>
      <c r="V34" s="128">
        <f>IF(AND(tbl_second_sem_list_of_subjects[[#This Row],[Qtr 4 final grade]]&gt;50,tbl_second_sem_list_of_subjects[[#This Row],[Qtr 3 final grade]]&gt;50),ROUND(AVERAGE(tbl_second_sem_list_of_subjects[[#This Row],[Qtr 3 final grade]:[Qtr 4 final grade]]),0),0)</f>
        <v>0</v>
      </c>
      <c r="W34" t="str">
        <f>IF(tbl_second_sem_list_of_subjects[[#This Row],[Sem2 Final Grades]]&gt;=75,"PASSED",IF(tbl_second_sem_list_of_subjects[[#This Row],[Sem2 Final Grades]]&lt;&gt;0,"FAILED",""))</f>
        <v/>
      </c>
    </row>
    <row r="35" spans="2:23" x14ac:dyDescent="0.3">
      <c r="E35"/>
    </row>
    <row r="36" spans="2:23" x14ac:dyDescent="0.3">
      <c r="E36"/>
    </row>
    <row r="37" spans="2:23" x14ac:dyDescent="0.3">
      <c r="B37" s="28" t="s">
        <v>163</v>
      </c>
      <c r="E37"/>
      <c r="U37" s="113" t="s">
        <v>140</v>
      </c>
      <c r="V37">
        <f>COUNTIF(tbl_second_sem_list_of_subjects[Sem2 Final Grades],"&gt;0")</f>
        <v>7</v>
      </c>
    </row>
    <row r="38" spans="2:23" x14ac:dyDescent="0.3">
      <c r="B38">
        <v>60</v>
      </c>
      <c r="E38"/>
      <c r="U38" s="113" t="s">
        <v>141</v>
      </c>
      <c r="V38" s="92">
        <f>COUNTIF(tbl_second_sem_list_of_subjects[lookup_code],"ISTAKENCORE") + COUNTIF(tbl_second_sem_list_of_subjects[lookup_code],"ISTAKENAPPLIED") + COUNTIF(tbl_second_sem_list_of_subjects[lookup_code],"ISTAKENSPECIALIZED")</f>
        <v>7</v>
      </c>
    </row>
    <row r="39" spans="2:23" x14ac:dyDescent="0.3">
      <c r="B39">
        <v>61</v>
      </c>
      <c r="E39"/>
      <c r="U39" s="113" t="s">
        <v>139</v>
      </c>
      <c r="V39">
        <f>IF($V$37=$V$38,ROUND(AVERAGEIF(tbl_second_sem_list_of_subjects[Sem2 Final Grades],"&gt;0",tbl_second_sem_list_of_subjects[Sem2 Final Grades]),0),"")</f>
        <v>84</v>
      </c>
    </row>
    <row r="40" spans="2:23" x14ac:dyDescent="0.3">
      <c r="B40">
        <v>62</v>
      </c>
      <c r="E40"/>
    </row>
    <row r="41" spans="2:23" x14ac:dyDescent="0.3">
      <c r="B41">
        <v>63</v>
      </c>
      <c r="E41"/>
    </row>
    <row r="42" spans="2:23" x14ac:dyDescent="0.3">
      <c r="B42">
        <v>64</v>
      </c>
      <c r="E42"/>
    </row>
    <row r="43" spans="2:23" x14ac:dyDescent="0.3">
      <c r="B43">
        <v>65</v>
      </c>
      <c r="E43" s="17"/>
    </row>
    <row r="44" spans="2:23" x14ac:dyDescent="0.3">
      <c r="B44">
        <v>66</v>
      </c>
      <c r="E44" s="17"/>
    </row>
    <row r="45" spans="2:23" x14ac:dyDescent="0.3">
      <c r="B45">
        <v>67</v>
      </c>
      <c r="E45" s="17"/>
    </row>
    <row r="46" spans="2:23" x14ac:dyDescent="0.3">
      <c r="B46">
        <v>68</v>
      </c>
      <c r="E46" s="17"/>
    </row>
    <row r="47" spans="2:23" x14ac:dyDescent="0.3">
      <c r="B47">
        <v>69</v>
      </c>
      <c r="E47" s="17"/>
    </row>
    <row r="48" spans="2:23" x14ac:dyDescent="0.3">
      <c r="B48">
        <v>70</v>
      </c>
      <c r="E48" s="17"/>
    </row>
    <row r="49" spans="2:5" x14ac:dyDescent="0.3">
      <c r="B49">
        <v>71</v>
      </c>
      <c r="E49" s="17"/>
    </row>
    <row r="50" spans="2:5" x14ac:dyDescent="0.3">
      <c r="B50">
        <v>72</v>
      </c>
    </row>
    <row r="51" spans="2:5" x14ac:dyDescent="0.3">
      <c r="B51">
        <v>73</v>
      </c>
    </row>
    <row r="52" spans="2:5" x14ac:dyDescent="0.3">
      <c r="B52">
        <v>74</v>
      </c>
    </row>
    <row r="53" spans="2:5" x14ac:dyDescent="0.3">
      <c r="B53">
        <v>75</v>
      </c>
    </row>
    <row r="54" spans="2:5" x14ac:dyDescent="0.3">
      <c r="B54">
        <v>76</v>
      </c>
    </row>
    <row r="55" spans="2:5" x14ac:dyDescent="0.3">
      <c r="B55">
        <v>77</v>
      </c>
    </row>
    <row r="56" spans="2:5" x14ac:dyDescent="0.3">
      <c r="B56">
        <v>78</v>
      </c>
    </row>
    <row r="57" spans="2:5" x14ac:dyDescent="0.3">
      <c r="B57">
        <v>79</v>
      </c>
    </row>
    <row r="58" spans="2:5" x14ac:dyDescent="0.3">
      <c r="B58">
        <v>80</v>
      </c>
    </row>
    <row r="59" spans="2:5" x14ac:dyDescent="0.3">
      <c r="B59">
        <v>81</v>
      </c>
    </row>
    <row r="60" spans="2:5" x14ac:dyDescent="0.3">
      <c r="B60">
        <v>82</v>
      </c>
    </row>
    <row r="61" spans="2:5" x14ac:dyDescent="0.3">
      <c r="B61">
        <v>83</v>
      </c>
    </row>
    <row r="62" spans="2:5" x14ac:dyDescent="0.3">
      <c r="B62">
        <v>84</v>
      </c>
    </row>
    <row r="63" spans="2:5" x14ac:dyDescent="0.3">
      <c r="B63">
        <v>85</v>
      </c>
    </row>
    <row r="64" spans="2:5" x14ac:dyDescent="0.3">
      <c r="B64">
        <v>86</v>
      </c>
    </row>
    <row r="65" spans="2:2" x14ac:dyDescent="0.3">
      <c r="B65">
        <v>87</v>
      </c>
    </row>
    <row r="66" spans="2:2" x14ac:dyDescent="0.3">
      <c r="B66">
        <v>88</v>
      </c>
    </row>
    <row r="67" spans="2:2" x14ac:dyDescent="0.3">
      <c r="B67">
        <v>89</v>
      </c>
    </row>
    <row r="68" spans="2:2" x14ac:dyDescent="0.3">
      <c r="B68">
        <v>90</v>
      </c>
    </row>
    <row r="69" spans="2:2" x14ac:dyDescent="0.3">
      <c r="B69">
        <v>91</v>
      </c>
    </row>
    <row r="70" spans="2:2" x14ac:dyDescent="0.3">
      <c r="B70">
        <v>92</v>
      </c>
    </row>
    <row r="71" spans="2:2" x14ac:dyDescent="0.3">
      <c r="B71">
        <v>93</v>
      </c>
    </row>
    <row r="72" spans="2:2" x14ac:dyDescent="0.3">
      <c r="B72">
        <v>94</v>
      </c>
    </row>
    <row r="73" spans="2:2" x14ac:dyDescent="0.3">
      <c r="B73">
        <v>95</v>
      </c>
    </row>
    <row r="74" spans="2:2" x14ac:dyDescent="0.3">
      <c r="B74">
        <v>96</v>
      </c>
    </row>
    <row r="75" spans="2:2" x14ac:dyDescent="0.3">
      <c r="B75">
        <v>97</v>
      </c>
    </row>
    <row r="76" spans="2:2" x14ac:dyDescent="0.3">
      <c r="B76">
        <v>98</v>
      </c>
    </row>
    <row r="77" spans="2:2" x14ac:dyDescent="0.3">
      <c r="B77">
        <v>99</v>
      </c>
    </row>
    <row r="78" spans="2:2" x14ac:dyDescent="0.3">
      <c r="B78">
        <v>100</v>
      </c>
    </row>
    <row r="80" spans="2:2" x14ac:dyDescent="0.3">
      <c r="B80">
        <v>0</v>
      </c>
    </row>
    <row r="81" spans="2:2" x14ac:dyDescent="0.3">
      <c r="B81" t="s">
        <v>157</v>
      </c>
    </row>
    <row r="82" spans="2:2" x14ac:dyDescent="0.3">
      <c r="B82" t="s">
        <v>164</v>
      </c>
    </row>
  </sheetData>
  <mergeCells count="6">
    <mergeCell ref="H4:H5"/>
    <mergeCell ref="I4:I5"/>
    <mergeCell ref="J4:J5"/>
    <mergeCell ref="H6:H8"/>
    <mergeCell ref="I6:I8"/>
    <mergeCell ref="J6:J8"/>
  </mergeCells>
  <phoneticPr fontId="9" type="noConversion"/>
  <pageMargins left="0.7" right="0.7" top="0.75" bottom="0.75" header="0.3" footer="0.3"/>
  <drawing r:id="rId2"/>
  <legacyDrawing r:id="rId3"/>
  <tableParts count="2">
    <tablePart r:id="rId4"/>
    <tablePart r:id="rId5"/>
  </tableParts>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DC7DF-EF0E-4A3D-BA13-FE58D8EFB8DE}">
  <sheetPr codeName="Sheet6">
    <tabColor theme="9"/>
    <pageSetUpPr fitToPage="1"/>
  </sheetPr>
  <dimension ref="A1:R33"/>
  <sheetViews>
    <sheetView showGridLines="0" tabSelected="1" view="pageBreakPreview" topLeftCell="A6" zoomScale="85" zoomScaleNormal="85" zoomScaleSheetLayoutView="85" workbookViewId="0"/>
  </sheetViews>
  <sheetFormatPr defaultColWidth="0.88671875" defaultRowHeight="14.4" x14ac:dyDescent="0.3"/>
  <cols>
    <col min="1" max="1" width="1.21875" style="43" customWidth="1"/>
    <col min="2" max="2" width="10.21875" style="43" customWidth="1"/>
    <col min="3" max="3" width="26.44140625" style="43" customWidth="1"/>
    <col min="4" max="4" width="1.77734375" style="43" customWidth="1"/>
    <col min="5" max="5" width="4.6640625" style="34" customWidth="1"/>
    <col min="6" max="6" width="7.44140625" style="34" customWidth="1"/>
    <col min="7" max="16" width="4.77734375" style="34" customWidth="1"/>
    <col min="17" max="17" width="4.44140625" style="34" hidden="1" customWidth="1"/>
    <col min="18" max="18" width="6.77734375" style="34" customWidth="1"/>
    <col min="19" max="19" width="7.5546875" style="34" customWidth="1"/>
    <col min="20" max="26" width="8.88671875" style="34" customWidth="1"/>
    <col min="27" max="27" width="6.88671875" style="34" customWidth="1"/>
    <col min="28" max="16384" width="0.88671875" style="34"/>
  </cols>
  <sheetData>
    <row r="1" spans="5:18" s="43" customFormat="1" ht="11.4" customHeight="1" x14ac:dyDescent="0.3"/>
    <row r="2" spans="5:18" s="44" customFormat="1" ht="33.6" customHeight="1" x14ac:dyDescent="0.3">
      <c r="E2" s="54"/>
      <c r="F2" s="55"/>
      <c r="H2" s="182"/>
      <c r="I2" s="182"/>
      <c r="J2" s="182"/>
      <c r="K2" s="182"/>
      <c r="L2" s="182"/>
      <c r="M2" s="182"/>
      <c r="N2" s="182"/>
    </row>
    <row r="3" spans="5:18" ht="3.6" customHeight="1" x14ac:dyDescent="0.3"/>
    <row r="4" spans="5:18" ht="16.2" customHeight="1" x14ac:dyDescent="0.3"/>
    <row r="5" spans="5:18" ht="13.2" customHeight="1" x14ac:dyDescent="0.3"/>
    <row r="6" spans="5:18" ht="13.2" customHeight="1" x14ac:dyDescent="0.3"/>
    <row r="7" spans="5:18" ht="14.4" customHeight="1" x14ac:dyDescent="0.3"/>
    <row r="9" spans="5:18" ht="36" customHeight="1" x14ac:dyDescent="0.3">
      <c r="F9" s="60"/>
      <c r="G9" s="61" t="s">
        <v>18</v>
      </c>
      <c r="H9" s="61" t="s">
        <v>19</v>
      </c>
      <c r="I9" s="61" t="s">
        <v>20</v>
      </c>
      <c r="J9" s="61" t="s">
        <v>21</v>
      </c>
      <c r="K9" s="61" t="s">
        <v>22</v>
      </c>
      <c r="L9" s="61" t="s">
        <v>23</v>
      </c>
      <c r="M9" s="61" t="s">
        <v>24</v>
      </c>
      <c r="N9" s="61" t="s">
        <v>25</v>
      </c>
      <c r="O9" s="61" t="s">
        <v>26</v>
      </c>
      <c r="P9" s="61" t="s">
        <v>27</v>
      </c>
      <c r="Q9" s="61" t="s">
        <v>28</v>
      </c>
      <c r="R9" s="61" t="s">
        <v>32</v>
      </c>
    </row>
    <row r="10" spans="5:18" ht="55.8" customHeight="1" x14ac:dyDescent="0.3">
      <c r="F10" s="62" t="s">
        <v>29</v>
      </c>
      <c r="G10" s="134">
        <v>3</v>
      </c>
      <c r="H10" s="134">
        <v>21</v>
      </c>
      <c r="I10" s="134">
        <v>22</v>
      </c>
      <c r="J10" s="134">
        <v>19</v>
      </c>
      <c r="K10" s="134">
        <v>10</v>
      </c>
      <c r="L10" s="134">
        <v>21</v>
      </c>
      <c r="M10" s="134">
        <v>21</v>
      </c>
      <c r="N10" s="134">
        <v>19</v>
      </c>
      <c r="O10" s="134">
        <v>21</v>
      </c>
      <c r="P10" s="134">
        <v>22</v>
      </c>
      <c r="Q10" s="134"/>
      <c r="R10" s="134">
        <f>SUM($G$10:$Q$10)</f>
        <v>179</v>
      </c>
    </row>
    <row r="11" spans="5:18" ht="55.8" customHeight="1" x14ac:dyDescent="0.3">
      <c r="F11" s="62" t="s">
        <v>30</v>
      </c>
      <c r="G11" s="134">
        <f ca="1">G10-G12</f>
        <v>3</v>
      </c>
      <c r="H11" s="134">
        <f t="shared" ref="H11:I11" ca="1" si="0">H10-H12</f>
        <v>21</v>
      </c>
      <c r="I11" s="134">
        <f t="shared" ca="1" si="0"/>
        <v>22</v>
      </c>
      <c r="J11" s="134">
        <f t="shared" ref="J11" ca="1" si="1">J10-J12</f>
        <v>19</v>
      </c>
      <c r="K11" s="134">
        <f t="shared" ref="K11" ca="1" si="2">K10-K12</f>
        <v>10</v>
      </c>
      <c r="L11" s="134">
        <f t="shared" ref="L11" ca="1" si="3">L10-L12</f>
        <v>15</v>
      </c>
      <c r="M11" s="134">
        <f t="shared" ref="M11" ca="1" si="4">M10-M12</f>
        <v>15</v>
      </c>
      <c r="N11" s="134">
        <f t="shared" ref="N11" ca="1" si="5">N10-N12</f>
        <v>15</v>
      </c>
      <c r="O11" s="134">
        <f t="shared" ref="O11" ca="1" si="6">O10-O12</f>
        <v>21</v>
      </c>
      <c r="P11" s="134">
        <f t="shared" ref="P11" ca="1" si="7">P10-P12</f>
        <v>22</v>
      </c>
      <c r="Q11" s="134"/>
      <c r="R11" s="134">
        <f ca="1">SUM($G$11:$Q$11)</f>
        <v>163</v>
      </c>
    </row>
    <row r="12" spans="5:18" ht="55.8" customHeight="1" x14ac:dyDescent="0.3">
      <c r="F12" s="62" t="s">
        <v>31</v>
      </c>
      <c r="G12" s="134">
        <f ca="1">INDEX(INDIRECT("tbl_learners_info["&amp;G9&amp;"]"),MATCH(Student_FullName,tbl_learners_info[Student Name],0),1)</f>
        <v>0</v>
      </c>
      <c r="H12" s="134">
        <f ca="1">INDEX(INDIRECT("tbl_learners_info["&amp;H9&amp;"]"),MATCH(Student_FullName,tbl_learners_info[Student Name],0),1)</f>
        <v>0</v>
      </c>
      <c r="I12" s="134">
        <f ca="1">INDEX(INDIRECT("tbl_learners_info["&amp;I9&amp;"]"),MATCH(Student_FullName,tbl_learners_info[Student Name],0),1)</f>
        <v>0</v>
      </c>
      <c r="J12" s="134">
        <f ca="1">INDEX(INDIRECT("tbl_learners_info["&amp;J9&amp;"]"),MATCH(Student_FullName,tbl_learners_info[Student Name],0),1)</f>
        <v>0</v>
      </c>
      <c r="K12" s="134">
        <f ca="1">INDEX(INDIRECT("tbl_learners_info["&amp;K9&amp;"]"),MATCH(Student_FullName,tbl_learners_info[Student Name],0),1)</f>
        <v>0</v>
      </c>
      <c r="L12" s="134">
        <f ca="1">INDEX(INDIRECT("tbl_learners_info["&amp;L9&amp;"]"),MATCH(Student_FullName,tbl_learners_info[Student Name],0),1)</f>
        <v>6</v>
      </c>
      <c r="M12" s="134">
        <f ca="1">INDEX(INDIRECT("tbl_learners_info["&amp;M9&amp;"]"),MATCH(Student_FullName,tbl_learners_info[Student Name],0),1)</f>
        <v>6</v>
      </c>
      <c r="N12" s="134">
        <f ca="1">INDEX(INDIRECT("tbl_learners_info["&amp;N9&amp;"]"),MATCH(Student_FullName,tbl_learners_info[Student Name],0),1)</f>
        <v>4</v>
      </c>
      <c r="O12" s="134">
        <f ca="1">INDEX(INDIRECT("tbl_learners_info["&amp;O9&amp;"]"),MATCH(Student_FullName,tbl_learners_info[Student Name],0),1)</f>
        <v>0</v>
      </c>
      <c r="P12" s="134">
        <f ca="1">INDEX(INDIRECT("tbl_learners_info["&amp;P9&amp;"]"),MATCH(Student_FullName,tbl_learners_info[Student Name],0),1)</f>
        <v>0</v>
      </c>
      <c r="Q12" s="134"/>
      <c r="R12" s="134">
        <f ca="1">SUM($G$12:$Q$12)</f>
        <v>16</v>
      </c>
    </row>
    <row r="33" ht="7.8" customHeight="1" x14ac:dyDescent="0.3"/>
  </sheetData>
  <sheetProtection formatRows="0" insertRows="0" selectLockedCells="1"/>
  <mergeCells count="1">
    <mergeCell ref="H2:N2"/>
  </mergeCells>
  <pageMargins left="0.1" right="0" top="0.45" bottom="0.1" header="0.3" footer="0.3"/>
  <pageSetup paperSize="5" scale="98" fitToWidth="0" orientation="landscape" horizontalDpi="4294967293" r:id="rId1"/>
  <rowBreaks count="2" manualBreakCount="2">
    <brk id="31" min="4" max="26" man="1"/>
    <brk id="32" min="4" max="26" man="1"/>
  </rowBreaks>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E91A-D816-4EE3-AE1F-107D9A2A652E}">
  <sheetPr codeName="Sheet7">
    <tabColor theme="9"/>
    <pageSetUpPr fitToPage="1"/>
  </sheetPr>
  <dimension ref="A1:P62"/>
  <sheetViews>
    <sheetView showGridLines="0" view="pageBreakPreview" topLeftCell="A2" zoomScale="85" zoomScaleNormal="85" zoomScaleSheetLayoutView="85" workbookViewId="0">
      <selection activeCell="V4" sqref="V4"/>
    </sheetView>
  </sheetViews>
  <sheetFormatPr defaultColWidth="8.88671875" defaultRowHeight="14.4" zeroHeight="1" x14ac:dyDescent="0.3"/>
  <cols>
    <col min="1" max="1" width="1.21875" style="34" customWidth="1"/>
    <col min="2" max="2" width="10.21875" style="34" customWidth="1"/>
    <col min="3" max="3" width="26.44140625" style="34" customWidth="1"/>
    <col min="4" max="4" width="1.77734375" style="34" customWidth="1"/>
    <col min="5" max="5" width="2.33203125" style="48" customWidth="1"/>
    <col min="6" max="6" width="40.33203125" style="48" customWidth="1"/>
    <col min="7" max="8" width="6.88671875" style="48" customWidth="1"/>
    <col min="9" max="9" width="12.6640625" style="48" customWidth="1"/>
    <col min="10" max="10" width="2.77734375" style="48" customWidth="1"/>
    <col min="11" max="11" width="6" style="48" customWidth="1"/>
    <col min="12" max="12" width="1.88671875" style="48" customWidth="1"/>
    <col min="13" max="13" width="14.33203125" style="48" customWidth="1"/>
    <col min="14" max="14" width="33.5546875" style="48" customWidth="1"/>
    <col min="15" max="18" width="4" style="48" customWidth="1"/>
    <col min="19" max="19" width="1" style="48" customWidth="1"/>
    <col min="20" max="20" width="1.21875" style="48" customWidth="1"/>
    <col min="21" max="21" width="8.88671875" style="48"/>
    <col min="22" max="22" width="30.109375" style="48" customWidth="1"/>
    <col min="23" max="16384" width="8.88671875" style="48"/>
  </cols>
  <sheetData>
    <row r="1" spans="1:16" s="43" customFormat="1" ht="11.4" customHeight="1" x14ac:dyDescent="0.3"/>
    <row r="2" spans="1:16" s="44" customFormat="1" ht="33.6" customHeight="1" x14ac:dyDescent="0.3">
      <c r="E2" s="54"/>
      <c r="H2" s="55"/>
      <c r="J2" s="46"/>
      <c r="K2" s="46"/>
      <c r="L2" s="46"/>
      <c r="M2" s="46"/>
      <c r="N2" s="46"/>
      <c r="O2" s="46"/>
      <c r="P2" s="46"/>
    </row>
    <row r="3" spans="1:16" s="34" customFormat="1" ht="3.6" customHeight="1" x14ac:dyDescent="0.3"/>
    <row r="4" spans="1:16" ht="16.2" customHeight="1" x14ac:dyDescent="0.3"/>
    <row r="5" spans="1:16" ht="13.2" customHeight="1" x14ac:dyDescent="0.3"/>
    <row r="6" spans="1:16" s="49" customFormat="1" ht="13.2" customHeight="1" x14ac:dyDescent="0.3">
      <c r="A6" s="34"/>
      <c r="B6" s="34"/>
      <c r="C6" s="34"/>
      <c r="D6" s="34"/>
      <c r="F6" s="50" t="s">
        <v>33</v>
      </c>
    </row>
    <row r="7" spans="1:16" s="58" customFormat="1" ht="14.4" customHeight="1" x14ac:dyDescent="0.3">
      <c r="A7" s="43"/>
      <c r="B7" s="43"/>
      <c r="C7" s="43"/>
      <c r="D7" s="43"/>
      <c r="F7" s="186" t="s">
        <v>34</v>
      </c>
      <c r="G7" s="188" t="s">
        <v>35</v>
      </c>
      <c r="H7" s="189"/>
      <c r="I7" s="190" t="s">
        <v>36</v>
      </c>
    </row>
    <row r="8" spans="1:16" s="58" customFormat="1" ht="13.2" customHeight="1" x14ac:dyDescent="0.3">
      <c r="A8" s="43"/>
      <c r="B8" s="43"/>
      <c r="C8" s="43"/>
      <c r="D8" s="43"/>
      <c r="F8" s="187"/>
      <c r="G8" s="59">
        <v>1</v>
      </c>
      <c r="H8" s="59">
        <v>2</v>
      </c>
      <c r="I8" s="191"/>
    </row>
    <row r="9" spans="1:16" s="56" customFormat="1" ht="16.95" customHeight="1" x14ac:dyDescent="0.3">
      <c r="A9" s="43"/>
      <c r="B9" s="43"/>
      <c r="C9" s="43"/>
      <c r="D9" s="43"/>
      <c r="F9" s="192" t="s">
        <v>37</v>
      </c>
      <c r="G9" s="193"/>
      <c r="H9" s="193"/>
      <c r="I9" s="194"/>
    </row>
    <row r="10" spans="1:16" s="57" customFormat="1" ht="16.95" customHeight="1" x14ac:dyDescent="0.3">
      <c r="A10" s="43"/>
      <c r="B10" s="43"/>
      <c r="C10" s="43"/>
      <c r="D10" s="43"/>
      <c r="F10" s="132" t="str" cm="1">
        <f t="array" ref="F10">IFERROR(INDEX(tbl_first_sem_list_of_subjects[First Semester Subjects],
SMALL(IF(tbl_first_sem_list_of_subjects[lookup_code]="ISTAKENCORE", ROW(tbl_first_sem_list_of_subjects[lookup_code])-(MIN(ROW(tbl_first_sem_list_of_subjects[lookup_code]))-1)),ROW(A1)),1),"")</f>
        <v>Personal Development</v>
      </c>
      <c r="G10" s="133">
        <f>IF(F10&lt;&gt;"",INDEX(tbl_first_sem_list_of_subjects[Qtr 1 final grade],MATCH(F10,tbl_first_sem_list_of_subjects[First Semester Subjects],0),1),"")</f>
        <v>82</v>
      </c>
      <c r="H10" s="133">
        <f>IF(F10&lt;&gt;"",INDEX(tbl_first_sem_list_of_subjects[Qtr 2 final grade],MATCH(F10,tbl_first_sem_list_of_subjects[First Semester Subjects],0),1),"")</f>
        <v>75</v>
      </c>
      <c r="I10" s="133">
        <f>IF(F10&lt;&gt;"",INDEX(tbl_first_sem_list_of_subjects[Sem1 Final Grades],MATCH(F10,tbl_first_sem_list_of_subjects[First Semester Subjects],0),1),"")</f>
        <v>79</v>
      </c>
    </row>
    <row r="11" spans="1:16" s="57" customFormat="1" ht="16.95" customHeight="1" x14ac:dyDescent="0.3">
      <c r="A11" s="43"/>
      <c r="B11" s="43"/>
      <c r="C11" s="43"/>
      <c r="D11" s="43"/>
      <c r="F11" s="132" t="str" cm="1">
        <f t="array" ref="F11">IFERROR(INDEX(tbl_first_sem_list_of_subjects[First Semester Subjects],
SMALL(IF(tbl_first_sem_list_of_subjects[lookup_code]="ISTAKENCORE", ROW(tbl_first_sem_list_of_subjects[lookup_code])-(MIN(ROW(tbl_first_sem_list_of_subjects[lookup_code]))-1)),ROW(A2)),1),"")</f>
        <v>Understanding Culture, Society and Politics</v>
      </c>
      <c r="G11" s="133">
        <f>IF(F11&lt;&gt;"",INDEX(tbl_first_sem_list_of_subjects[Qtr 1 final grade],MATCH(F11,tbl_first_sem_list_of_subjects[First Semester Subjects],0),1),"")</f>
        <v>78</v>
      </c>
      <c r="H11" s="133">
        <f>IF(F11&lt;&gt;"",INDEX(tbl_first_sem_list_of_subjects[Qtr 2 final grade],MATCH(F11,tbl_first_sem_list_of_subjects[First Semester Subjects],0),1),"")</f>
        <v>78</v>
      </c>
      <c r="I11" s="133">
        <f>IF(F11&lt;&gt;"",INDEX(tbl_first_sem_list_of_subjects[Sem1 Final Grades],MATCH(F11,tbl_first_sem_list_of_subjects[First Semester Subjects],0),1),"")</f>
        <v>78</v>
      </c>
    </row>
    <row r="12" spans="1:16" s="57" customFormat="1" ht="16.95" customHeight="1" x14ac:dyDescent="0.3">
      <c r="A12" s="43"/>
      <c r="B12" s="43"/>
      <c r="C12" s="43"/>
      <c r="D12" s="43"/>
      <c r="F12" s="132" t="str" cm="1">
        <f t="array" ref="F12">IFERROR(INDEX(tbl_first_sem_list_of_subjects[First Semester Subjects],
SMALL(IF(tbl_first_sem_list_of_subjects[lookup_code]="ISTAKENCORE", ROW(tbl_first_sem_list_of_subjects[lookup_code])-(MIN(ROW(tbl_first_sem_list_of_subjects[lookup_code]))-1)),ROW(A3)),1),"")</f>
        <v>Physical Education and Health III</v>
      </c>
      <c r="G12" s="133">
        <f>IF(F12&lt;&gt;"",INDEX(tbl_first_sem_list_of_subjects[Qtr 1 final grade],MATCH(F12,tbl_first_sem_list_of_subjects[First Semester Subjects],0),1),"")</f>
        <v>89</v>
      </c>
      <c r="H12" s="133">
        <f>IF(F12&lt;&gt;"",INDEX(tbl_first_sem_list_of_subjects[Qtr 2 final grade],MATCH(F12,tbl_first_sem_list_of_subjects[First Semester Subjects],0),1),"")</f>
        <v>87</v>
      </c>
      <c r="I12" s="133">
        <f>IF(F12&lt;&gt;"",INDEX(tbl_first_sem_list_of_subjects[Sem1 Final Grades],MATCH(F12,tbl_first_sem_list_of_subjects[First Semester Subjects],0),1),"")</f>
        <v>88</v>
      </c>
    </row>
    <row r="13" spans="1:16" s="57" customFormat="1" ht="16.95" customHeight="1" x14ac:dyDescent="0.3">
      <c r="A13" s="43"/>
      <c r="B13" s="43"/>
      <c r="C13" s="43"/>
      <c r="D13" s="43"/>
      <c r="F13" s="132" t="str" cm="1">
        <f t="array" ref="F13">IFERROR(INDEX(tbl_first_sem_list_of_subjects[First Semester Subjects],
SMALL(IF(tbl_first_sem_list_of_subjects[lookup_code]="ISTAKENCORE", ROW(tbl_first_sem_list_of_subjects[lookup_code])-(MIN(ROW(tbl_first_sem_list_of_subjects[lookup_code]))-1)),ROW(A4)),1),"")</f>
        <v/>
      </c>
      <c r="G13" s="133" t="str">
        <f>IF(F13&lt;&gt;"",INDEX(tbl_first_sem_list_of_subjects[Qtr 1 final grade],MATCH(F13,tbl_first_sem_list_of_subjects[First Semester Subjects],0),1),"")</f>
        <v/>
      </c>
      <c r="H13" s="133" t="str">
        <f>IF(F13&lt;&gt;"",INDEX(tbl_first_sem_list_of_subjects[Qtr 2 final grade],MATCH(F13,tbl_first_sem_list_of_subjects[First Semester Subjects],0),1),"")</f>
        <v/>
      </c>
      <c r="I13" s="133" t="str">
        <f>IF(F13&lt;&gt;"",INDEX(tbl_first_sem_list_of_subjects[Sem1 Final Grades],MATCH(F13,tbl_first_sem_list_of_subjects[First Semester Subjects],0),1),"")</f>
        <v/>
      </c>
    </row>
    <row r="14" spans="1:16" s="57" customFormat="1" ht="16.95" customHeight="1" x14ac:dyDescent="0.3">
      <c r="A14" s="43"/>
      <c r="B14" s="43"/>
      <c r="C14" s="43"/>
      <c r="D14" s="43"/>
      <c r="F14" s="132" t="str" cm="1">
        <f t="array" ref="F14">IFERROR(INDEX(tbl_first_sem_list_of_subjects[First Semester Subjects],
SMALL(IF(tbl_first_sem_list_of_subjects[lookup_code]="ISTAKENCORE", ROW(tbl_first_sem_list_of_subjects[lookup_code])-(MIN(ROW(tbl_first_sem_list_of_subjects[lookup_code]))-1)),ROW(A5)),1),"")</f>
        <v/>
      </c>
      <c r="G14" s="133" t="str">
        <f>IF(F14&lt;&gt;"",INDEX(tbl_first_sem_list_of_subjects[Qtr 1 final grade],MATCH(F14,tbl_first_sem_list_of_subjects[First Semester Subjects],0),1),"")</f>
        <v/>
      </c>
      <c r="H14" s="133" t="str">
        <f>IF(F14&lt;&gt;"",INDEX(tbl_first_sem_list_of_subjects[Qtr 2 final grade],MATCH(F14,tbl_first_sem_list_of_subjects[First Semester Subjects],0),1),"")</f>
        <v/>
      </c>
      <c r="I14" s="133" t="str">
        <f>IF(F14&lt;&gt;"",INDEX(tbl_first_sem_list_of_subjects[Sem1 Final Grades],MATCH(F14,tbl_first_sem_list_of_subjects[First Semester Subjects],0),1),"")</f>
        <v/>
      </c>
    </row>
    <row r="15" spans="1:16" s="57" customFormat="1" ht="16.95" customHeight="1" x14ac:dyDescent="0.3">
      <c r="A15" s="43"/>
      <c r="B15" s="43"/>
      <c r="C15" s="43"/>
      <c r="D15" s="43"/>
      <c r="F15" s="132" t="str" cm="1">
        <f t="array" ref="F15">IFERROR(INDEX(tbl_first_sem_list_of_subjects[First Semester Subjects],
SMALL(IF(tbl_first_sem_list_of_subjects[lookup_code]="ISTAKENCORE", ROW(tbl_first_sem_list_of_subjects[lookup_code])-(MIN(ROW(tbl_first_sem_list_of_subjects[lookup_code]))-1)),ROW(A6)),1),"")</f>
        <v/>
      </c>
      <c r="G15" s="133" t="str">
        <f>IF(F15&lt;&gt;"",INDEX(tbl_first_sem_list_of_subjects[Qtr 1 final grade],MATCH(F15,tbl_first_sem_list_of_subjects[First Semester Subjects],0),1),"")</f>
        <v/>
      </c>
      <c r="H15" s="133" t="str">
        <f>IF(F15&lt;&gt;"",INDEX(tbl_first_sem_list_of_subjects[Qtr 2 final grade],MATCH(F15,tbl_first_sem_list_of_subjects[First Semester Subjects],0),1),"")</f>
        <v/>
      </c>
      <c r="I15" s="133" t="str">
        <f>IF(F15&lt;&gt;"",INDEX(tbl_first_sem_list_of_subjects[Sem1 Final Grades],MATCH(F15,tbl_first_sem_list_of_subjects[First Semester Subjects],0),1),"")</f>
        <v/>
      </c>
    </row>
    <row r="16" spans="1:16" s="56" customFormat="1" ht="16.95" customHeight="1" x14ac:dyDescent="0.3">
      <c r="A16" s="43"/>
      <c r="B16" s="43"/>
      <c r="C16" s="43"/>
      <c r="D16" s="43"/>
      <c r="F16" s="195" t="s">
        <v>38</v>
      </c>
      <c r="G16" s="196"/>
      <c r="H16" s="196"/>
      <c r="I16" s="197"/>
    </row>
    <row r="17" spans="1:9" s="56" customFormat="1" ht="16.95" customHeight="1" x14ac:dyDescent="0.3">
      <c r="A17" s="43"/>
      <c r="B17" s="43"/>
      <c r="C17" s="43"/>
      <c r="D17" s="43"/>
      <c r="F17" s="132" t="str" cm="1">
        <f t="array" ref="F17">IFERROR(INDEX(tbl_first_sem_list_of_subjects[First Semester Subjects],SMALL(IF((tbl_first_sem_list_of_subjects[lookup_code]="ISTAKENAPPLIED")+(tbl_first_sem_list_of_subjects[lookup_code]="ISTAKENSPECIALIZED"), ROW(tbl_first_sem_list_of_subjects[lookup_code])-(MIN(ROW(tbl_first_sem_list_of_subjects[lookup_code]))-1)),ROW(A1)),1),"")</f>
        <v>English for Academic and Professional Purposes</v>
      </c>
      <c r="G17" s="133">
        <f>IF(F17&lt;&gt;"",INDEX(tbl_first_sem_list_of_subjects[Qtr 1 final grade],MATCH(F17,tbl_first_sem_list_of_subjects[First Semester Subjects],0),1),"")</f>
        <v>75</v>
      </c>
      <c r="H17" s="133">
        <f>IF(F17&lt;&gt;"",INDEX(tbl_first_sem_list_of_subjects[Qtr 2 final grade],MATCH(F17,tbl_first_sem_list_of_subjects[First Semester Subjects],0),1),"")</f>
        <v>77</v>
      </c>
      <c r="I17" s="133">
        <f>IF(F17&lt;&gt;"",INDEX(tbl_first_sem_list_of_subjects[Sem1 Final Grades],MATCH(F17,tbl_first_sem_list_of_subjects[First Semester Subjects],0),1),"")</f>
        <v>76</v>
      </c>
    </row>
    <row r="18" spans="1:9" s="56" customFormat="1" ht="16.95" customHeight="1" x14ac:dyDescent="0.3">
      <c r="A18" s="43"/>
      <c r="B18" s="43"/>
      <c r="C18" s="43"/>
      <c r="D18" s="43"/>
      <c r="F18" s="132" t="str" cm="1">
        <f t="array" ref="F18">IFERROR(INDEX(tbl_first_sem_list_of_subjects[First Semester Subjects],SMALL(IF((tbl_first_sem_list_of_subjects[lookup_code]="ISTAKENAPPLIED")+(tbl_first_sem_list_of_subjects[lookup_code]="ISTAKENSPECIALIZED"), ROW(tbl_first_sem_list_of_subjects[lookup_code])-(MIN(ROW(tbl_first_sem_list_of_subjects[lookup_code]))-1)),ROW(A2)),1),"")</f>
        <v>Practical Research 2</v>
      </c>
      <c r="G18" s="133">
        <f>IF(F18&lt;&gt;"",INDEX(tbl_first_sem_list_of_subjects[Qtr 1 final grade],MATCH(F18,tbl_first_sem_list_of_subjects[First Semester Subjects],0),1),"")</f>
        <v>84</v>
      </c>
      <c r="H18" s="133">
        <f>IF(F18&lt;&gt;"",INDEX(tbl_first_sem_list_of_subjects[Qtr 2 final grade],MATCH(F18,tbl_first_sem_list_of_subjects[First Semester Subjects],0),1),"")</f>
        <v>90</v>
      </c>
      <c r="I18" s="133">
        <f>IF(F18&lt;&gt;"",INDEX(tbl_first_sem_list_of_subjects[Sem1 Final Grades],MATCH(F18,tbl_first_sem_list_of_subjects[First Semester Subjects],0),1),"")</f>
        <v>87</v>
      </c>
    </row>
    <row r="19" spans="1:9" s="56" customFormat="1" ht="16.95" customHeight="1" x14ac:dyDescent="0.3">
      <c r="A19" s="43"/>
      <c r="B19" s="43"/>
      <c r="C19" s="43"/>
      <c r="D19" s="43"/>
      <c r="F19" s="132" t="str" cm="1">
        <f t="array" ref="F19">IFERROR(INDEX(tbl_first_sem_list_of_subjects[First Semester Subjects],SMALL(IF((tbl_first_sem_list_of_subjects[lookup_code]="ISTAKENAPPLIED")+(tbl_first_sem_list_of_subjects[lookup_code]="ISTAKENSPECIALIZED"), ROW(tbl_first_sem_list_of_subjects[lookup_code])-(MIN(ROW(tbl_first_sem_list_of_subjects[lookup_code]))-1)),ROW(A3)),1),"")</f>
        <v>Automotive Servicing</v>
      </c>
      <c r="G19" s="133">
        <f>IF(F19&lt;&gt;"",INDEX(tbl_first_sem_list_of_subjects[Qtr 1 final grade],MATCH(F19,tbl_first_sem_list_of_subjects[First Semester Subjects],0),1),"")</f>
        <v>82</v>
      </c>
      <c r="H19" s="133">
        <f>IF(F19&lt;&gt;"",INDEX(tbl_first_sem_list_of_subjects[Qtr 2 final grade],MATCH(F19,tbl_first_sem_list_of_subjects[First Semester Subjects],0),1),"")</f>
        <v>87</v>
      </c>
      <c r="I19" s="133">
        <f>IF(F19&lt;&gt;"",INDEX(tbl_first_sem_list_of_subjects[Sem1 Final Grades],MATCH(F19,tbl_first_sem_list_of_subjects[First Semester Subjects],0),1),"")</f>
        <v>85</v>
      </c>
    </row>
    <row r="20" spans="1:9" s="56" customFormat="1" ht="16.95" customHeight="1" x14ac:dyDescent="0.3">
      <c r="A20" s="43"/>
      <c r="B20" s="43"/>
      <c r="C20" s="43"/>
      <c r="D20" s="43"/>
      <c r="F20" s="132" t="str" cm="1">
        <f t="array" ref="F20">IFERROR(INDEX(tbl_first_sem_list_of_subjects[First Semester Subjects],SMALL(IF((tbl_first_sem_list_of_subjects[lookup_code]="ISTAKENAPPLIED")+(tbl_first_sem_list_of_subjects[lookup_code]="ISTAKENSPECIALIZED"), ROW(tbl_first_sem_list_of_subjects[lookup_code])-(MIN(ROW(tbl_first_sem_list_of_subjects[lookup_code]))-1)),ROW(A4)),1),"")</f>
        <v/>
      </c>
      <c r="G20" s="133" t="str">
        <f>IF(F20&lt;&gt;"",INDEX(tbl_first_sem_list_of_subjects[Qtr 1 final grade],MATCH(F20,tbl_first_sem_list_of_subjects[First Semester Subjects],0),1),"")</f>
        <v/>
      </c>
      <c r="H20" s="133" t="str">
        <f>IF(F20&lt;&gt;"",INDEX(tbl_first_sem_list_of_subjects[Qtr 2 final grade],MATCH(F20,tbl_first_sem_list_of_subjects[First Semester Subjects],0),1),"")</f>
        <v/>
      </c>
      <c r="I20" s="133" t="str">
        <f>IF(F20&lt;&gt;"",INDEX(tbl_first_sem_list_of_subjects[Sem1 Final Grades],MATCH(F20,tbl_first_sem_list_of_subjects[First Semester Subjects],0),1),"")</f>
        <v/>
      </c>
    </row>
    <row r="21" spans="1:9" s="56" customFormat="1" ht="16.95" customHeight="1" x14ac:dyDescent="0.3">
      <c r="A21" s="43"/>
      <c r="B21" s="43"/>
      <c r="C21" s="43"/>
      <c r="D21" s="43"/>
      <c r="F21" s="183" t="s">
        <v>39</v>
      </c>
      <c r="G21" s="184"/>
      <c r="H21" s="185"/>
      <c r="I21" s="131">
        <f>sem1_average</f>
        <v>82</v>
      </c>
    </row>
    <row r="22" spans="1:9" x14ac:dyDescent="0.3"/>
    <row r="23" spans="1:9" s="49" customFormat="1" ht="18.600000000000001" customHeight="1" x14ac:dyDescent="0.3">
      <c r="A23" s="34"/>
      <c r="B23" s="34"/>
      <c r="C23" s="34"/>
      <c r="D23" s="34"/>
      <c r="F23" s="50" t="s">
        <v>40</v>
      </c>
    </row>
    <row r="24" spans="1:9" ht="19.2" customHeight="1" x14ac:dyDescent="0.3">
      <c r="F24" s="198" t="s">
        <v>34</v>
      </c>
      <c r="G24" s="200" t="s">
        <v>35</v>
      </c>
      <c r="H24" s="201"/>
      <c r="I24" s="202" t="s">
        <v>36</v>
      </c>
    </row>
    <row r="25" spans="1:9" ht="13.2" customHeight="1" x14ac:dyDescent="0.3">
      <c r="F25" s="199"/>
      <c r="G25" s="51">
        <v>3</v>
      </c>
      <c r="H25" s="51">
        <v>4</v>
      </c>
      <c r="I25" s="203"/>
    </row>
    <row r="26" spans="1:9" s="52" customFormat="1" ht="16.95" customHeight="1" x14ac:dyDescent="0.3">
      <c r="A26" s="34"/>
      <c r="B26" s="34"/>
      <c r="C26" s="34"/>
      <c r="D26" s="34"/>
      <c r="F26" s="204" t="s">
        <v>37</v>
      </c>
      <c r="G26" s="205"/>
      <c r="H26" s="205"/>
      <c r="I26" s="206"/>
    </row>
    <row r="27" spans="1:9" s="52" customFormat="1" ht="16.95" customHeight="1" x14ac:dyDescent="0.3">
      <c r="A27" s="34"/>
      <c r="B27" s="34"/>
      <c r="C27" s="34"/>
      <c r="D27" s="34"/>
      <c r="F27" s="130" t="str" cm="1">
        <f t="array" ref="F27">IFERROR(
    INDEX(
        tbl_second_sem_list_of_subjects[Second Semester Subjects],
        SMALL(
            IF(
                tbl_second_sem_list_of_subjects[lookup_code]="ISTAKENCORE",
                ROW(tbl_second_sem_list_of_subjects[lookup_code])-(MIN(ROW(tbl_second_sem_list_of_subjects[lookup_code]))-1)
            ),
            ROW(A1)
        ),
        1
    ),
    ""
)</f>
        <v>Contemporary Philippine Arts from the Regions</v>
      </c>
      <c r="G27" s="131">
        <f>IF(F27&lt;&gt;"",INDEX(tbl_second_sem_list_of_subjects[Qtr 3 final grade],MATCH(F27,tbl_second_sem_list_of_subjects[Second Semester Subjects],0),1),"")</f>
        <v>82</v>
      </c>
      <c r="H27" s="131">
        <f>IF(F27&lt;&gt;"",INDEX(tbl_second_sem_list_of_subjects[Qtr 4 final grade],MATCH(F27,tbl_second_sem_list_of_subjects[Second Semester Subjects],0),1),"")</f>
        <v>82</v>
      </c>
      <c r="I27" s="131">
        <f>IF(F27&lt;&gt;"",INDEX(tbl_second_sem_list_of_subjects[Sem2 Final Grades],MATCH(F27,tbl_second_sem_list_of_subjects[Second Semester Subjects],0),1),"")</f>
        <v>82</v>
      </c>
    </row>
    <row r="28" spans="1:9" s="52" customFormat="1" ht="16.95" customHeight="1" x14ac:dyDescent="0.3">
      <c r="A28" s="34"/>
      <c r="B28" s="34"/>
      <c r="C28" s="34"/>
      <c r="D28" s="34"/>
      <c r="F28" s="130" t="str" cm="1">
        <f t="array" ref="F28">IFERROR(
    INDEX(
        tbl_second_sem_list_of_subjects[Second Semester Subjects],
        SMALL(
            IF(
                tbl_second_sem_list_of_subjects[lookup_code]="ISTAKENCORE",
                ROW(tbl_second_sem_list_of_subjects[lookup_code])-(MIN(ROW(tbl_second_sem_list_of_subjects[lookup_code]))-1)
            ),
            ROW(A2)
        ),
        1
    ),
    ""
)</f>
        <v>Filipino sa Piling Larangan</v>
      </c>
      <c r="G28" s="131">
        <f>IF(F28&lt;&gt;"",INDEX(tbl_second_sem_list_of_subjects[Qtr 3 final grade],MATCH(F28,tbl_second_sem_list_of_subjects[Second Semester Subjects],0),1),"")</f>
        <v>91</v>
      </c>
      <c r="H28" s="131">
        <f>IF(F28&lt;&gt;"",INDEX(tbl_second_sem_list_of_subjects[Qtr 4 final grade],MATCH(F28,tbl_second_sem_list_of_subjects[Second Semester Subjects],0),1),"")</f>
        <v>82</v>
      </c>
      <c r="I28" s="131">
        <f>IF(F28&lt;&gt;"",INDEX(tbl_second_sem_list_of_subjects[Sem2 Final Grades],MATCH(F28,tbl_second_sem_list_of_subjects[Second Semester Subjects],0),1),"")</f>
        <v>87</v>
      </c>
    </row>
    <row r="29" spans="1:9" s="52" customFormat="1" ht="16.95" customHeight="1" x14ac:dyDescent="0.3">
      <c r="A29" s="34"/>
      <c r="B29" s="34"/>
      <c r="C29" s="34"/>
      <c r="D29" s="34"/>
      <c r="F29" s="130" t="str" cm="1">
        <f t="array" ref="F29">IFERROR(
    INDEX(
        tbl_second_sem_list_of_subjects[Second Semester Subjects],
        SMALL(
            IF(
                tbl_second_sem_list_of_subjects[lookup_code]="ISTAKENCORE",
                ROW(tbl_second_sem_list_of_subjects[lookup_code])-(MIN(ROW(tbl_second_sem_list_of_subjects[lookup_code]))-1)
            ),
            ROW(A3)
        ),
        1
    ),
    ""
)</f>
        <v>Media and Information Literacy</v>
      </c>
      <c r="G29" s="131">
        <f>IF(F29&lt;&gt;"",INDEX(tbl_second_sem_list_of_subjects[Qtr 3 final grade],MATCH(F29,tbl_second_sem_list_of_subjects[Second Semester Subjects],0),1),"")</f>
        <v>82</v>
      </c>
      <c r="H29" s="131">
        <f>IF(F29&lt;&gt;"",INDEX(tbl_second_sem_list_of_subjects[Qtr 4 final grade],MATCH(F29,tbl_second_sem_list_of_subjects[Second Semester Subjects],0),1),"")</f>
        <v>84</v>
      </c>
      <c r="I29" s="131">
        <f>IF(F29&lt;&gt;"",INDEX(tbl_second_sem_list_of_subjects[Sem2 Final Grades],MATCH(F29,tbl_second_sem_list_of_subjects[Second Semester Subjects],0),1),"")</f>
        <v>83</v>
      </c>
    </row>
    <row r="30" spans="1:9" s="52" customFormat="1" ht="16.95" customHeight="1" x14ac:dyDescent="0.3">
      <c r="A30" s="34"/>
      <c r="B30" s="34"/>
      <c r="C30" s="34"/>
      <c r="D30" s="34"/>
      <c r="F30" s="130" t="str" cm="1">
        <f t="array" ref="F30">IFERROR(
    INDEX(
        tbl_second_sem_list_of_subjects[Second Semester Subjects],
        SMALL(
            IF(
                tbl_second_sem_list_of_subjects[lookup_code]="ISTAKENCORE",
                ROW(tbl_second_sem_list_of_subjects[lookup_code])-(MIN(ROW(tbl_second_sem_list_of_subjects[lookup_code]))-1)
            ),
            ROW(A4)
        ),
        1
    ),
    ""
)</f>
        <v>Physical Education and Health IV</v>
      </c>
      <c r="G30" s="131">
        <f>IF(F30&lt;&gt;"",INDEX(tbl_second_sem_list_of_subjects[Qtr 3 final grade],MATCH(F30,tbl_second_sem_list_of_subjects[Second Semester Subjects],0),1),"")</f>
        <v>86</v>
      </c>
      <c r="H30" s="131">
        <f>IF(F30&lt;&gt;"",INDEX(tbl_second_sem_list_of_subjects[Qtr 4 final grade],MATCH(F30,tbl_second_sem_list_of_subjects[Second Semester Subjects],0),1),"")</f>
        <v>82</v>
      </c>
      <c r="I30" s="131">
        <f>IF(F30&lt;&gt;"",INDEX(tbl_second_sem_list_of_subjects[Sem2 Final Grades],MATCH(F30,tbl_second_sem_list_of_subjects[Second Semester Subjects],0),1),"")</f>
        <v>84</v>
      </c>
    </row>
    <row r="31" spans="1:9" s="52" customFormat="1" ht="16.95" customHeight="1" x14ac:dyDescent="0.3">
      <c r="A31" s="34"/>
      <c r="B31" s="34"/>
      <c r="C31" s="34"/>
      <c r="D31" s="34"/>
      <c r="F31" s="130" t="str" cm="1">
        <f t="array" ref="F31">IFERROR(
    INDEX(
        tbl_second_sem_list_of_subjects[Second Semester Subjects],
        SMALL(
            IF(
                tbl_second_sem_list_of_subjects[lookup_code]="ISTAKENCORE",
                ROW(tbl_second_sem_list_of_subjects[lookup_code])-(MIN(ROW(tbl_second_sem_list_of_subjects[lookup_code]))-1)
            ),
            ROW(A5)
        ),
        1
    ),
    ""
)</f>
        <v/>
      </c>
      <c r="G31" s="131" t="str">
        <f>IF(F31&lt;&gt;"",INDEX(tbl_second_sem_list_of_subjects[Qtr 3 final grade],MATCH(F31,tbl_second_sem_list_of_subjects[Second Semester Subjects],0),1),"")</f>
        <v/>
      </c>
      <c r="H31" s="131" t="str">
        <f>IF(F31&lt;&gt;"",INDEX(tbl_second_sem_list_of_subjects[Qtr 4 final grade],MATCH(F31,tbl_second_sem_list_of_subjects[Second Semester Subjects],0),1),"")</f>
        <v/>
      </c>
      <c r="I31" s="131" t="str">
        <f>IF(F31&lt;&gt;"",INDEX(tbl_second_sem_list_of_subjects[Sem2 Final Grades],MATCH(F31,tbl_second_sem_list_of_subjects[Second Semester Subjects],0),1),"")</f>
        <v/>
      </c>
    </row>
    <row r="32" spans="1:9" s="52" customFormat="1" ht="16.95" customHeight="1" x14ac:dyDescent="0.3">
      <c r="A32" s="34"/>
      <c r="B32" s="34"/>
      <c r="C32" s="34"/>
      <c r="D32" s="34"/>
      <c r="F32" s="130" t="str" cm="1">
        <f t="array" ref="F32">IFERROR(
    INDEX(
        tbl_second_sem_list_of_subjects[Second Semester Subjects],
        SMALL(
            IF(
                tbl_second_sem_list_of_subjects[lookup_code]="ISTAKENCORE",
                ROW(tbl_second_sem_list_of_subjects[lookup_code])-(MIN(ROW(tbl_second_sem_list_of_subjects[lookup_code]))-1)
            ),
            ROW(A6)
        ),
        1
    ),
    ""
)</f>
        <v/>
      </c>
      <c r="G32" s="131" t="str">
        <f>IF(F32&lt;&gt;"",INDEX(tbl_second_sem_list_of_subjects[Qtr 3 final grade],MATCH(F32,tbl_second_sem_list_of_subjects[Second Semester Subjects],0),1),"")</f>
        <v/>
      </c>
      <c r="H32" s="131" t="str">
        <f>IF(F32&lt;&gt;"",INDEX(tbl_second_sem_list_of_subjects[Qtr 4 final grade],MATCH(F32,tbl_second_sem_list_of_subjects[Second Semester Subjects],0),1),"")</f>
        <v/>
      </c>
      <c r="I32" s="131" t="str">
        <f>IF(F32&lt;&gt;"",INDEX(tbl_second_sem_list_of_subjects[Sem2 Final Grades],MATCH(F32,tbl_second_sem_list_of_subjects[Second Semester Subjects],0),1),"")</f>
        <v/>
      </c>
    </row>
    <row r="33" spans="1:15" s="52" customFormat="1" ht="16.95" customHeight="1" x14ac:dyDescent="0.3">
      <c r="A33" s="34"/>
      <c r="B33" s="34"/>
      <c r="C33" s="34"/>
      <c r="D33" s="34"/>
      <c r="F33" s="204" t="s">
        <v>38</v>
      </c>
      <c r="G33" s="205"/>
      <c r="H33" s="205"/>
      <c r="I33" s="206"/>
    </row>
    <row r="34" spans="1:15" s="52" customFormat="1" ht="16.95" customHeight="1" x14ac:dyDescent="0.3">
      <c r="A34" s="34"/>
      <c r="B34" s="34"/>
      <c r="C34" s="34"/>
      <c r="D34" s="34"/>
      <c r="F34" s="130" t="str" cm="1">
        <f t="array" ref="F34">IFERROR(
    INDEX(
        tbl_second_sem_list_of_subjects[Second Semester Subjects],
        SMALL(
            IF(
                (tbl_second_sem_list_of_subjects[lookup_code]="ISTAKENAPPLIED")+
                (tbl_second_sem_list_of_subjects[lookup_code]="ISTAKENSPECIALIZED"),
                ROW(tbl_second_sem_list_of_subjects[lookup_code])-
                (MIN(ROW(tbl_second_sem_list_of_subjects[lookup_code]))-1)
            ),
            ROW(A1)
        ),
        1
    ),
    ""
)</f>
        <v>Entreprenuership</v>
      </c>
      <c r="G34" s="131">
        <f>IF(F34&lt;&gt;"",INDEX(tbl_second_sem_list_of_subjects[Qtr 3 final grade],MATCH(F34,tbl_second_sem_list_of_subjects[Second Semester Subjects],0),1),"")</f>
        <v>75</v>
      </c>
      <c r="H34" s="131">
        <f>IF(F34&lt;&gt;"",INDEX(tbl_second_sem_list_of_subjects[Qtr 4 final grade],MATCH(F34,tbl_second_sem_list_of_subjects[Second Semester Subjects],0),1),"")</f>
        <v>84</v>
      </c>
      <c r="I34" s="131">
        <f>IF(F34&lt;&gt;"",INDEX(tbl_second_sem_list_of_subjects[Sem2 Final Grades],MATCH(F34,tbl_second_sem_list_of_subjects[Second Semester Subjects],0),1),"")</f>
        <v>80</v>
      </c>
      <c r="O34" s="53"/>
    </row>
    <row r="35" spans="1:15" s="52" customFormat="1" ht="16.95" customHeight="1" x14ac:dyDescent="0.3">
      <c r="A35" s="34"/>
      <c r="B35" s="34"/>
      <c r="C35" s="34"/>
      <c r="D35" s="34"/>
      <c r="F35" s="130" t="str" cm="1">
        <f t="array" ref="F35">IFERROR(
    INDEX(
        tbl_second_sem_list_of_subjects[Second Semester Subjects],
        SMALL(
            IF(
                (tbl_second_sem_list_of_subjects[lookup_code]="ISTAKENAPPLIED")+
                (tbl_second_sem_list_of_subjects[lookup_code]="ISTAKENSPECIALIZED"),
                ROW(tbl_second_sem_list_of_subjects[lookup_code])-
                (MIN(ROW(tbl_second_sem_list_of_subjects[lookup_code]))-1)
            ),
            ROW(A2)
        ),
        1
    ),
    ""
)</f>
        <v>Inquiries, Investigations and Immersion</v>
      </c>
      <c r="G35" s="131">
        <f>IF(F35&lt;&gt;"",INDEX(tbl_second_sem_list_of_subjects[Qtr 3 final grade],MATCH(F35,tbl_second_sem_list_of_subjects[Second Semester Subjects],0),1),"")</f>
        <v>86</v>
      </c>
      <c r="H35" s="131">
        <f>IF(F35&lt;&gt;"",INDEX(tbl_second_sem_list_of_subjects[Qtr 4 final grade],MATCH(F35,tbl_second_sem_list_of_subjects[Second Semester Subjects],0),1),"")</f>
        <v>84</v>
      </c>
      <c r="I35" s="131">
        <f>IF(F35&lt;&gt;"",INDEX(tbl_second_sem_list_of_subjects[Sem2 Final Grades],MATCH(F35,tbl_second_sem_list_of_subjects[Second Semester Subjects],0),1),"")</f>
        <v>85</v>
      </c>
    </row>
    <row r="36" spans="1:15" s="52" customFormat="1" ht="16.95" customHeight="1" x14ac:dyDescent="0.3">
      <c r="A36" s="34"/>
      <c r="B36" s="34"/>
      <c r="C36" s="34"/>
      <c r="D36" s="34"/>
      <c r="F36" s="130" t="str" cm="1">
        <f t="array" ref="F36">IFERROR(
    INDEX(
        tbl_second_sem_list_of_subjects[Second Semester Subjects],
        SMALL(
            IF(
                (tbl_second_sem_list_of_subjects[lookup_code]="ISTAKENAPPLIED")+
                (tbl_second_sem_list_of_subjects[lookup_code]="ISTAKENSPECIALIZED"),
                ROW(tbl_second_sem_list_of_subjects[lookup_code])-
                (MIN(ROW(tbl_second_sem_list_of_subjects[lookup_code]))-1)
            ),
            ROW(A3)
        ),
        1
    ),
    ""
)</f>
        <v>Work Immersion</v>
      </c>
      <c r="G36" s="131"/>
      <c r="H36" s="131"/>
      <c r="I36" s="131">
        <f>IF(F36&lt;&gt;"",INDEX(tbl_second_sem_list_of_subjects[Sem2 Final Grades],MATCH(F36,tbl_second_sem_list_of_subjects[Second Semester Subjects],0),1),"")</f>
        <v>84</v>
      </c>
    </row>
    <row r="37" spans="1:15" s="52" customFormat="1" ht="16.95" customHeight="1" x14ac:dyDescent="0.3">
      <c r="A37" s="34"/>
      <c r="B37" s="34"/>
      <c r="C37" s="34"/>
      <c r="D37" s="34"/>
      <c r="F37" s="183" t="s">
        <v>39</v>
      </c>
      <c r="G37" s="184"/>
      <c r="H37" s="185"/>
      <c r="I37" s="129">
        <f>sem2_average</f>
        <v>84</v>
      </c>
    </row>
    <row r="38" spans="1:15" ht="7.8" customHeight="1" x14ac:dyDescent="0.3"/>
    <row r="39" spans="1:15" ht="15.6" customHeight="1" x14ac:dyDescent="0.3"/>
    <row r="40" spans="1:15" x14ac:dyDescent="0.3"/>
    <row r="41" spans="1:15" x14ac:dyDescent="0.3"/>
    <row r="42" spans="1:15" x14ac:dyDescent="0.3"/>
    <row r="43" spans="1:15" x14ac:dyDescent="0.3"/>
    <row r="44" spans="1:15" x14ac:dyDescent="0.3"/>
    <row r="45" spans="1:15" x14ac:dyDescent="0.3"/>
    <row r="46" spans="1:15" x14ac:dyDescent="0.3"/>
    <row r="47" spans="1:15" x14ac:dyDescent="0.3"/>
    <row r="48" spans="1:15" x14ac:dyDescent="0.3"/>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sheetData>
  <sheetProtection formatRows="0" insertRows="0" selectLockedCells="1"/>
  <mergeCells count="12">
    <mergeCell ref="F37:H37"/>
    <mergeCell ref="F7:F8"/>
    <mergeCell ref="G7:H7"/>
    <mergeCell ref="I7:I8"/>
    <mergeCell ref="F9:I9"/>
    <mergeCell ref="F16:I16"/>
    <mergeCell ref="F21:H21"/>
    <mergeCell ref="F24:F25"/>
    <mergeCell ref="G24:H24"/>
    <mergeCell ref="I24:I25"/>
    <mergeCell ref="F26:I26"/>
    <mergeCell ref="F33:I33"/>
  </mergeCells>
  <pageMargins left="0.1" right="0" top="0.45" bottom="0.1" header="0.3" footer="0.3"/>
  <pageSetup paperSize="5" scale="99" fitToWidth="0" orientation="landscape" horizontalDpi="4294967293" r:id="rId1"/>
  <rowBreaks count="2" manualBreakCount="2">
    <brk id="23" min="4" max="18" man="1"/>
    <brk id="24" min="4" max="18" man="1"/>
  </rowBreaks>
  <ignoredErrors>
    <ignoredError sqref="F16:I16" unlockedFormula="1"/>
  </ignoredErrors>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D4216-8E1F-47D1-8E45-E8FA17CFE725}">
  <sheetPr codeName="Sheet9">
    <tabColor rgb="FF44546A"/>
    <pageSetUpPr fitToPage="1"/>
  </sheetPr>
  <dimension ref="A1:L81"/>
  <sheetViews>
    <sheetView showGridLines="0" view="pageBreakPreview" topLeftCell="A6" zoomScale="85" zoomScaleNormal="70" zoomScaleSheetLayoutView="85" workbookViewId="0"/>
  </sheetViews>
  <sheetFormatPr defaultColWidth="3.77734375" defaultRowHeight="14.4" x14ac:dyDescent="0.3"/>
  <cols>
    <col min="1" max="1" width="1.21875" style="43" customWidth="1"/>
    <col min="2" max="2" width="10.21875" style="43" customWidth="1"/>
    <col min="3" max="3" width="26.44140625" style="43" customWidth="1"/>
    <col min="4" max="4" width="1.77734375" style="43" customWidth="1"/>
    <col min="5" max="5" width="1.21875" style="34" customWidth="1"/>
    <col min="6" max="6" width="22.33203125" style="34" customWidth="1"/>
    <col min="7" max="7" width="101.109375" style="34" customWidth="1"/>
    <col min="8" max="9" width="11.77734375" style="34" customWidth="1"/>
    <col min="10" max="10" width="14.88671875" style="34" customWidth="1"/>
    <col min="11" max="11" width="11" style="34" customWidth="1"/>
    <col min="12" max="12" width="0.77734375" customWidth="1"/>
    <col min="13" max="14" width="3.77734375" style="34"/>
    <col min="15" max="15" width="5.88671875" style="34" bestFit="1" customWidth="1"/>
    <col min="16" max="16384" width="3.77734375" style="34"/>
  </cols>
  <sheetData>
    <row r="1" spans="6:12" s="43" customFormat="1" ht="11.4" customHeight="1" x14ac:dyDescent="0.3"/>
    <row r="2" spans="6:12" s="44" customFormat="1" ht="33.6" customHeight="1" x14ac:dyDescent="0.3">
      <c r="F2" s="45"/>
      <c r="G2" s="46"/>
      <c r="I2" s="46"/>
    </row>
    <row r="3" spans="6:12" ht="3.6" customHeight="1" x14ac:dyDescent="0.3">
      <c r="F3" s="35"/>
      <c r="L3" s="34"/>
    </row>
    <row r="4" spans="6:12" ht="16.2" customHeight="1" thickBot="1" x14ac:dyDescent="0.35">
      <c r="F4" s="36" t="s">
        <v>57</v>
      </c>
      <c r="G4" s="37"/>
      <c r="H4" s="37"/>
      <c r="I4" s="37"/>
      <c r="J4" s="37"/>
      <c r="K4" s="38" t="s">
        <v>58</v>
      </c>
      <c r="L4" s="34"/>
    </row>
    <row r="5" spans="6:12" ht="13.2" customHeight="1" x14ac:dyDescent="0.3">
      <c r="L5" s="34"/>
    </row>
    <row r="6" spans="6:12" ht="13.2" customHeight="1" x14ac:dyDescent="0.3">
      <c r="L6" s="34"/>
    </row>
    <row r="7" spans="6:12" ht="14.4" customHeight="1" x14ac:dyDescent="0.3">
      <c r="L7" s="34"/>
    </row>
    <row r="9" spans="6:12" ht="36" customHeight="1" x14ac:dyDescent="0.3">
      <c r="G9" s="39"/>
      <c r="H9" s="39"/>
      <c r="I9" s="39"/>
      <c r="J9" s="39"/>
      <c r="K9" s="39"/>
      <c r="L9" s="34"/>
    </row>
    <row r="10" spans="6:12" ht="55.8" customHeight="1" x14ac:dyDescent="0.3">
      <c r="G10" s="39"/>
      <c r="H10" s="39"/>
      <c r="I10" s="39"/>
      <c r="J10" s="39"/>
      <c r="K10" s="39"/>
      <c r="L10" s="34"/>
    </row>
    <row r="11" spans="6:12" ht="55.8" customHeight="1" x14ac:dyDescent="0.3">
      <c r="G11" s="39"/>
      <c r="H11" s="39"/>
      <c r="I11" s="39"/>
      <c r="J11" s="39"/>
      <c r="K11" s="39"/>
      <c r="L11" s="34"/>
    </row>
    <row r="12" spans="6:12" ht="55.8" customHeight="1" x14ac:dyDescent="0.3">
      <c r="G12" s="39"/>
      <c r="H12" s="39"/>
      <c r="I12" s="39"/>
      <c r="J12" s="39"/>
      <c r="K12" s="39"/>
      <c r="L12" s="34"/>
    </row>
    <row r="19" spans="1:11" s="47" customFormat="1" ht="24" customHeight="1" x14ac:dyDescent="0.3">
      <c r="A19" s="43"/>
      <c r="B19" s="43"/>
      <c r="D19" s="43"/>
      <c r="F19" s="214" t="s">
        <v>59</v>
      </c>
      <c r="G19" s="215" t="s">
        <v>60</v>
      </c>
      <c r="H19" s="216" t="s">
        <v>35</v>
      </c>
      <c r="I19" s="217"/>
      <c r="J19" s="214" t="s">
        <v>63</v>
      </c>
      <c r="K19" s="215" t="s">
        <v>64</v>
      </c>
    </row>
    <row r="20" spans="1:11" s="47" customFormat="1" ht="24" customHeight="1" x14ac:dyDescent="0.3">
      <c r="A20" s="43"/>
      <c r="B20" s="43"/>
      <c r="C20" s="43"/>
      <c r="D20" s="43"/>
      <c r="F20" s="214"/>
      <c r="G20" s="215"/>
      <c r="H20" s="63" t="s">
        <v>61</v>
      </c>
      <c r="I20" s="63" t="s">
        <v>62</v>
      </c>
      <c r="J20" s="214"/>
      <c r="K20" s="215"/>
    </row>
    <row r="21" spans="1:11" s="43" customFormat="1" ht="19.95" customHeight="1" x14ac:dyDescent="0.3">
      <c r="F21" s="135" t="str">
        <f>IF($G21="","",INDEX(tbl_first_sem_list_of_subjects[[Subject Category ]],MATCH($G21,tbl_first_sem_list_of_subjects[First Semester Subjects],0),1))</f>
        <v>CORE</v>
      </c>
      <c r="G21" s="136" t="str" cm="1">
        <f t="array" ref="G21">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ROW(A1)
        ),
        1
    ),
    ""
)</f>
        <v>Personal Development</v>
      </c>
      <c r="H21" s="137">
        <f>IF($G21&lt;&gt;"",INDEX(tbl_first_sem_list_of_subjects[Qtr 1 final grade],MATCH($G21,tbl_first_sem_list_of_subjects[First Semester Subjects],0),1),"")</f>
        <v>82</v>
      </c>
      <c r="I21" s="137">
        <f>IF($G21&lt;&gt;"",INDEX(tbl_first_sem_list_of_subjects[Qtr 2 final grade],MATCH($G21,tbl_first_sem_list_of_subjects[First Semester Subjects],0),1),"")</f>
        <v>75</v>
      </c>
      <c r="J21" s="137">
        <f>IF($G21&lt;&gt;"",INDEX(tbl_first_sem_list_of_subjects[Sem1 Final Grades],MATCH($G21,tbl_first_sem_list_of_subjects[First Semester Subjects],0),1),"")</f>
        <v>79</v>
      </c>
      <c r="K21" s="137" t="str">
        <f>IF(ISNUMBER(J21),
IF(J21&gt;=75,"PASSED","FAILED"),"")</f>
        <v>PASSED</v>
      </c>
    </row>
    <row r="22" spans="1:11" s="43" customFormat="1" ht="19.95" customHeight="1" x14ac:dyDescent="0.3">
      <c r="F22" s="135" t="str">
        <f>IF($G22="","",INDEX(tbl_first_sem_list_of_subjects[[Subject Category ]],MATCH($G22,tbl_first_sem_list_of_subjects[First Semester Subjects],0),1))</f>
        <v>CORE</v>
      </c>
      <c r="G22" s="136" t="str" cm="1">
        <f t="array" ref="G22">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ROW(A2)
        ),
        1
    ),
    ""
)</f>
        <v>Understanding Culture, Society and Politics</v>
      </c>
      <c r="H22" s="137">
        <f>IF($G22&lt;&gt;"",INDEX(tbl_first_sem_list_of_subjects[Qtr 1 final grade],MATCH($G22,tbl_first_sem_list_of_subjects[First Semester Subjects],0),1),"")</f>
        <v>78</v>
      </c>
      <c r="I22" s="137">
        <f>IF($G22&lt;&gt;"",INDEX(tbl_first_sem_list_of_subjects[Qtr 2 final grade],MATCH($G22,tbl_first_sem_list_of_subjects[First Semester Subjects],0),1),"")</f>
        <v>78</v>
      </c>
      <c r="J22" s="137">
        <f>IF($G22&lt;&gt;"",INDEX(tbl_first_sem_list_of_subjects[Sem1 Final Grades],MATCH($G22,tbl_first_sem_list_of_subjects[First Semester Subjects],0),1),"")</f>
        <v>78</v>
      </c>
      <c r="K22" s="137" t="str">
        <f t="shared" ref="K22:K31" si="0">IF(ISNUMBER(J22),
IF(J22&gt;=75,"PASSED","FAILED"),"")</f>
        <v>PASSED</v>
      </c>
    </row>
    <row r="23" spans="1:11" s="43" customFormat="1" ht="19.95" customHeight="1" x14ac:dyDescent="0.3">
      <c r="F23" s="135" t="str">
        <f>IF($G23="","",INDEX(tbl_first_sem_list_of_subjects[[Subject Category ]],MATCH($G23,tbl_first_sem_list_of_subjects[First Semester Subjects],0),1))</f>
        <v>CORE</v>
      </c>
      <c r="G23" s="136" t="str" cm="1">
        <f t="array" ref="G23">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ROW(A3)
        ),
        1
    ),
    ""
)</f>
        <v>Physical Education and Health III</v>
      </c>
      <c r="H23" s="137">
        <f>IF($G23&lt;&gt;"",INDEX(tbl_first_sem_list_of_subjects[Qtr 1 final grade],MATCH($G23,tbl_first_sem_list_of_subjects[First Semester Subjects],0),1),"")</f>
        <v>89</v>
      </c>
      <c r="I23" s="137">
        <f>IF($G23&lt;&gt;"",INDEX(tbl_first_sem_list_of_subjects[Qtr 2 final grade],MATCH($G23,tbl_first_sem_list_of_subjects[First Semester Subjects],0),1),"")</f>
        <v>87</v>
      </c>
      <c r="J23" s="137">
        <f>IF($G23&lt;&gt;"",INDEX(tbl_first_sem_list_of_subjects[Sem1 Final Grades],MATCH($G23,tbl_first_sem_list_of_subjects[First Semester Subjects],0),1),"")</f>
        <v>88</v>
      </c>
      <c r="K23" s="137" t="str">
        <f t="shared" si="0"/>
        <v>PASSED</v>
      </c>
    </row>
    <row r="24" spans="1:11" s="43" customFormat="1" ht="19.95" customHeight="1" x14ac:dyDescent="0.3">
      <c r="F24" s="135" t="str">
        <f>IF($G24="","",INDEX(tbl_first_sem_list_of_subjects[[Subject Category ]],MATCH($G24,tbl_first_sem_list_of_subjects[First Semester Subjects],0),1))</f>
        <v>APPLIED</v>
      </c>
      <c r="G24" s="136" t="str" cm="1">
        <f t="array" ref="G24">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ROW(A4)
        ),
        1
    ),
    ""
)</f>
        <v>English for Academic and Professional Purposes</v>
      </c>
      <c r="H24" s="137">
        <f>IF($G24&lt;&gt;"",INDEX(tbl_first_sem_list_of_subjects[Qtr 1 final grade],MATCH($G24,tbl_first_sem_list_of_subjects[First Semester Subjects],0),1),"")</f>
        <v>75</v>
      </c>
      <c r="I24" s="137">
        <f>IF($G24&lt;&gt;"",INDEX(tbl_first_sem_list_of_subjects[Qtr 2 final grade],MATCH($G24,tbl_first_sem_list_of_subjects[First Semester Subjects],0),1),"")</f>
        <v>77</v>
      </c>
      <c r="J24" s="137">
        <f>IF($G24&lt;&gt;"",INDEX(tbl_first_sem_list_of_subjects[Sem1 Final Grades],MATCH($G24,tbl_first_sem_list_of_subjects[First Semester Subjects],0),1),"")</f>
        <v>76</v>
      </c>
      <c r="K24" s="137" t="str">
        <f t="shared" si="0"/>
        <v>PASSED</v>
      </c>
    </row>
    <row r="25" spans="1:11" s="43" customFormat="1" ht="19.95" customHeight="1" x14ac:dyDescent="0.3">
      <c r="F25" s="135" t="str">
        <f>IF($G25="","",INDEX(tbl_first_sem_list_of_subjects[[Subject Category ]],MATCH($G25,tbl_first_sem_list_of_subjects[First Semester Subjects],0),1))</f>
        <v>APPLIED</v>
      </c>
      <c r="G25" s="136" t="str" cm="1">
        <f t="array" ref="G25">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ROW(A5)
        ),
        1
    ),
    ""
)</f>
        <v>Practical Research 2</v>
      </c>
      <c r="H25" s="137">
        <f>IF($G25&lt;&gt;"",INDEX(tbl_first_sem_list_of_subjects[Qtr 1 final grade],MATCH($G25,tbl_first_sem_list_of_subjects[First Semester Subjects],0),1),"")</f>
        <v>84</v>
      </c>
      <c r="I25" s="137">
        <f>IF($G25&lt;&gt;"",INDEX(tbl_first_sem_list_of_subjects[Qtr 2 final grade],MATCH($G25,tbl_first_sem_list_of_subjects[First Semester Subjects],0),1),"")</f>
        <v>90</v>
      </c>
      <c r="J25" s="137">
        <f>IF($G25&lt;&gt;"",INDEX(tbl_first_sem_list_of_subjects[Sem1 Final Grades],MATCH($G25,tbl_first_sem_list_of_subjects[First Semester Subjects],0),1),"")</f>
        <v>87</v>
      </c>
      <c r="K25" s="137" t="str">
        <f t="shared" si="0"/>
        <v>PASSED</v>
      </c>
    </row>
    <row r="26" spans="1:11" s="43" customFormat="1" ht="19.95" customHeight="1" x14ac:dyDescent="0.3">
      <c r="F26" s="135" t="str">
        <f>IF($G26="","",INDEX(tbl_first_sem_list_of_subjects[[Subject Category ]],MATCH($G26,tbl_first_sem_list_of_subjects[First Semester Subjects],0),1))</f>
        <v>SPECIALIZED</v>
      </c>
      <c r="G26" s="136" t="str" cm="1">
        <f t="array" ref="G26">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ROW(A6)
        ),
        1
    ),
    ""
)</f>
        <v>Automotive Servicing</v>
      </c>
      <c r="H26" s="137">
        <f>IF($G26&lt;&gt;"",INDEX(tbl_first_sem_list_of_subjects[Qtr 1 final grade],MATCH($G26,tbl_first_sem_list_of_subjects[First Semester Subjects],0),1),"")</f>
        <v>82</v>
      </c>
      <c r="I26" s="137">
        <f>IF($G26&lt;&gt;"",INDEX(tbl_first_sem_list_of_subjects[Qtr 2 final grade],MATCH($G26,tbl_first_sem_list_of_subjects[First Semester Subjects],0),1),"")</f>
        <v>87</v>
      </c>
      <c r="J26" s="137">
        <f>IF($G26&lt;&gt;"",INDEX(tbl_first_sem_list_of_subjects[Sem1 Final Grades],MATCH($G26,tbl_first_sem_list_of_subjects[First Semester Subjects],0),1),"")</f>
        <v>85</v>
      </c>
      <c r="K26" s="137" t="str">
        <f t="shared" si="0"/>
        <v>PASSED</v>
      </c>
    </row>
    <row r="27" spans="1:11" s="43" customFormat="1" ht="19.95" customHeight="1" x14ac:dyDescent="0.3">
      <c r="F27" s="138" t="str">
        <f>IF($G27="","",INDEX(tbl_first_sem_list_of_subjects[[Subject Category ]],MATCH($G27,tbl_first_sem_list_of_subjects[First Semester Subjects],0),1))</f>
        <v/>
      </c>
      <c r="G27" s="139" t="str" cm="1">
        <f t="array" ref="G27">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ROW(A7)
        ),
        1
    ),
    ""
)</f>
        <v/>
      </c>
      <c r="H27" s="140" t="str">
        <f>IF($G27&lt;&gt;"",INDEX(tbl_first_sem_list_of_subjects[Qtr 1 final grade],MATCH($G27,tbl_first_sem_list_of_subjects[First Semester Subjects],0),1),"")</f>
        <v/>
      </c>
      <c r="I27" s="140" t="str">
        <f>IF($G27&lt;&gt;"",INDEX(tbl_first_sem_list_of_subjects[Qtr 2 final grade],MATCH($G27,tbl_first_sem_list_of_subjects[First Semester Subjects],0),1),"")</f>
        <v/>
      </c>
      <c r="J27" s="140" t="str">
        <f>IF($G27&lt;&gt;"",INDEX(tbl_first_sem_list_of_subjects[Sem1 Final Grades],MATCH($G27,tbl_first_sem_list_of_subjects[First Semester Subjects],0),1),"")</f>
        <v/>
      </c>
      <c r="K27" s="137" t="str">
        <f t="shared" si="0"/>
        <v/>
      </c>
    </row>
    <row r="28" spans="1:11" s="43" customFormat="1" ht="19.95" customHeight="1" x14ac:dyDescent="0.3">
      <c r="F28" s="138" t="str">
        <f>IF($G28="","",INDEX(tbl_first_sem_list_of_subjects[[Subject Category ]],MATCH($G28,tbl_first_sem_list_of_subjects[First Semester Subjects],0),1))</f>
        <v/>
      </c>
      <c r="G28" s="139" t="str" cm="1">
        <f t="array" ref="G28">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ROW(A8)
        ),
        1
    ),
    ""
)</f>
        <v/>
      </c>
      <c r="H28" s="140" t="str">
        <f>IF($G28&lt;&gt;"",INDEX(tbl_first_sem_list_of_subjects[Qtr 1 final grade],MATCH($G28,tbl_first_sem_list_of_subjects[First Semester Subjects],0),1),"")</f>
        <v/>
      </c>
      <c r="I28" s="140" t="str">
        <f>IF($G28&lt;&gt;"",INDEX(tbl_first_sem_list_of_subjects[Qtr 2 final grade],MATCH($G28,tbl_first_sem_list_of_subjects[First Semester Subjects],0),1),"")</f>
        <v/>
      </c>
      <c r="J28" s="140" t="str">
        <f>IF($G28&lt;&gt;"",INDEX(tbl_first_sem_list_of_subjects[Sem1 Final Grades],MATCH($G28,tbl_first_sem_list_of_subjects[First Semester Subjects],0),1),"")</f>
        <v/>
      </c>
      <c r="K28" s="137" t="str">
        <f t="shared" si="0"/>
        <v/>
      </c>
    </row>
    <row r="29" spans="1:11" s="43" customFormat="1" ht="19.95" customHeight="1" x14ac:dyDescent="0.3">
      <c r="F29" s="138" t="str">
        <f>IF($G29="","",INDEX(tbl_first_sem_list_of_subjects[[Subject Category ]],MATCH($G29,tbl_first_sem_list_of_subjects[First Semester Subjects],0),1))</f>
        <v/>
      </c>
      <c r="G29" s="139" t="str" cm="1">
        <f t="array" ref="G29">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ROW(A9)
        ),
        1
    ),
    ""
)</f>
        <v/>
      </c>
      <c r="H29" s="140" t="str">
        <f>IF($G29&lt;&gt;"",INDEX(tbl_first_sem_list_of_subjects[Qtr 1 final grade],MATCH($G29,tbl_first_sem_list_of_subjects[First Semester Subjects],0),1),"")</f>
        <v/>
      </c>
      <c r="I29" s="140" t="str">
        <f>IF($G29&lt;&gt;"",INDEX(tbl_first_sem_list_of_subjects[Qtr 2 final grade],MATCH($G29,tbl_first_sem_list_of_subjects[First Semester Subjects],0),1),"")</f>
        <v/>
      </c>
      <c r="J29" s="140" t="str">
        <f>IF($G29&lt;&gt;"",INDEX(tbl_first_sem_list_of_subjects[Sem1 Final Grades],MATCH($G29,tbl_first_sem_list_of_subjects[First Semester Subjects],0),1),"")</f>
        <v/>
      </c>
      <c r="K29" s="137" t="str">
        <f t="shared" si="0"/>
        <v/>
      </c>
    </row>
    <row r="30" spans="1:11" s="43" customFormat="1" ht="19.95" customHeight="1" x14ac:dyDescent="0.3">
      <c r="F30" s="138" t="str">
        <f>IF($G30="","",INDEX(tbl_first_sem_list_of_subjects[[Subject Category ]],MATCH($G30,tbl_first_sem_list_of_subjects[First Semester Subjects],0),1))</f>
        <v/>
      </c>
      <c r="G30" s="139" t="str" cm="1">
        <f t="array" ref="G30">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ROW(A10)
        ),
        1
    ),
    ""
)</f>
        <v/>
      </c>
      <c r="H30" s="140" t="str">
        <f>IF($G30&lt;&gt;"",INDEX(tbl_first_sem_list_of_subjects[Qtr 1 final grade],MATCH($G30,tbl_first_sem_list_of_subjects[First Semester Subjects],0),1),"")</f>
        <v/>
      </c>
      <c r="I30" s="140" t="str">
        <f>IF($G30&lt;&gt;"",INDEX(tbl_first_sem_list_of_subjects[Qtr 2 final grade],MATCH($G30,tbl_first_sem_list_of_subjects[First Semester Subjects],0),1),"")</f>
        <v/>
      </c>
      <c r="J30" s="140" t="str">
        <f>IF($G30&lt;&gt;"",INDEX(tbl_first_sem_list_of_subjects[Sem1 Final Grades],MATCH($G30,tbl_first_sem_list_of_subjects[First Semester Subjects],0),1),"")</f>
        <v/>
      </c>
      <c r="K30" s="137" t="str">
        <f t="shared" si="0"/>
        <v/>
      </c>
    </row>
    <row r="31" spans="1:11" s="43" customFormat="1" ht="19.95" customHeight="1" x14ac:dyDescent="0.3">
      <c r="F31" s="218" t="s">
        <v>98</v>
      </c>
      <c r="G31" s="219"/>
      <c r="H31" s="219"/>
      <c r="I31" s="220"/>
      <c r="J31" s="140">
        <f>sem1_average</f>
        <v>82</v>
      </c>
      <c r="K31" s="137" t="str">
        <f t="shared" si="0"/>
        <v>PASSED</v>
      </c>
    </row>
    <row r="34" spans="1:12" ht="7.8" customHeight="1" x14ac:dyDescent="0.3">
      <c r="L34" s="34"/>
    </row>
    <row r="39" spans="1:12" ht="15.6" customHeight="1" x14ac:dyDescent="0.3">
      <c r="L39" s="34"/>
    </row>
    <row r="40" spans="1:12" s="40" customFormat="1" ht="24" customHeight="1" x14ac:dyDescent="0.3">
      <c r="A40" s="43"/>
      <c r="B40" s="43"/>
      <c r="C40" s="43"/>
      <c r="D40" s="43"/>
      <c r="F40" s="210" t="s">
        <v>59</v>
      </c>
      <c r="G40" s="211" t="s">
        <v>60</v>
      </c>
      <c r="H40" s="210" t="s">
        <v>65</v>
      </c>
      <c r="I40" s="210" t="s">
        <v>66</v>
      </c>
      <c r="J40" s="210" t="s">
        <v>67</v>
      </c>
      <c r="K40" s="210" t="s">
        <v>68</v>
      </c>
    </row>
    <row r="41" spans="1:12" s="40" customFormat="1" ht="24" customHeight="1" x14ac:dyDescent="0.3">
      <c r="A41" s="43"/>
      <c r="B41" s="43"/>
      <c r="C41" s="43"/>
      <c r="D41" s="43"/>
      <c r="F41" s="210"/>
      <c r="G41" s="211"/>
      <c r="H41" s="210"/>
      <c r="I41" s="210"/>
      <c r="J41" s="210"/>
      <c r="K41" s="210"/>
    </row>
    <row r="42" spans="1:12" ht="19.95" customHeight="1" x14ac:dyDescent="0.3">
      <c r="F42" s="42"/>
      <c r="G42" s="42"/>
      <c r="H42" s="42"/>
      <c r="I42" s="42"/>
      <c r="J42" s="42"/>
      <c r="K42" s="42"/>
      <c r="L42" s="34"/>
    </row>
    <row r="43" spans="1:12" ht="19.95" customHeight="1" x14ac:dyDescent="0.3">
      <c r="F43" s="42"/>
      <c r="G43" s="42"/>
      <c r="H43" s="42"/>
      <c r="I43" s="42"/>
      <c r="J43" s="42"/>
      <c r="K43" s="42"/>
      <c r="L43" s="34"/>
    </row>
    <row r="44" spans="1:12" ht="19.95" customHeight="1" x14ac:dyDescent="0.3">
      <c r="F44" s="42"/>
      <c r="G44" s="42"/>
      <c r="H44" s="42"/>
      <c r="I44" s="42"/>
      <c r="J44" s="42"/>
      <c r="K44" s="42"/>
      <c r="L44" s="34"/>
    </row>
    <row r="45" spans="1:12" ht="19.95" customHeight="1" x14ac:dyDescent="0.3">
      <c r="F45" s="42"/>
      <c r="G45" s="42"/>
      <c r="H45" s="42"/>
      <c r="I45" s="42"/>
      <c r="J45" s="42"/>
      <c r="K45" s="42"/>
      <c r="L45" s="34"/>
    </row>
    <row r="52" spans="1:12" ht="3.6" customHeight="1" x14ac:dyDescent="0.3">
      <c r="L52" s="34"/>
    </row>
    <row r="53" spans="1:12" s="40" customFormat="1" ht="24" customHeight="1" x14ac:dyDescent="0.3">
      <c r="A53" s="43"/>
      <c r="B53" s="43"/>
      <c r="C53" s="47"/>
      <c r="D53" s="43"/>
      <c r="F53" s="210" t="s">
        <v>59</v>
      </c>
      <c r="G53" s="211" t="s">
        <v>60</v>
      </c>
      <c r="H53" s="212" t="s">
        <v>35</v>
      </c>
      <c r="I53" s="213"/>
      <c r="J53" s="210" t="s">
        <v>63</v>
      </c>
      <c r="K53" s="211" t="s">
        <v>64</v>
      </c>
    </row>
    <row r="54" spans="1:12" s="40" customFormat="1" ht="24" customHeight="1" x14ac:dyDescent="0.3">
      <c r="A54" s="43"/>
      <c r="B54" s="43"/>
      <c r="C54" s="43"/>
      <c r="D54" s="43"/>
      <c r="F54" s="210"/>
      <c r="G54" s="211"/>
      <c r="H54" s="41" t="s">
        <v>70</v>
      </c>
      <c r="I54" s="41" t="s">
        <v>71</v>
      </c>
      <c r="J54" s="210"/>
      <c r="K54" s="211"/>
    </row>
    <row r="55" spans="1:12" ht="19.95" customHeight="1" x14ac:dyDescent="0.3">
      <c r="F55" s="138" t="str">
        <f>IF($G55="","",INDEX(tbl_second_sem_list_of_subjects[[Subject Category ]],MATCH($G55,tbl_second_sem_list_of_subjects[Second Semester Subjects],0),1))</f>
        <v>CORE</v>
      </c>
      <c r="G55" s="139" t="str" cm="1">
        <f t="array" ref="G55">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ROW(A1)
        ),
        1
    ),
    ""
)</f>
        <v>Contemporary Philippine Arts from the Regions</v>
      </c>
      <c r="H55" s="140">
        <f>IF($G55&lt;&gt;"",INDEX(tbl_second_sem_list_of_subjects[Qtr 3 final grade],MATCH($G55,tbl_second_sem_list_of_subjects[Second Semester Subjects],0),1),"")</f>
        <v>82</v>
      </c>
      <c r="I55" s="140">
        <f>IF($G55&lt;&gt;"",INDEX(tbl_second_sem_list_of_subjects[Qtr 4 final grade],MATCH($G55,tbl_second_sem_list_of_subjects[Second Semester Subjects],0),1),"")</f>
        <v>82</v>
      </c>
      <c r="J55" s="140">
        <f>IF($G55&lt;&gt;"",INDEX(tbl_second_sem_list_of_subjects[Sem2 Final Grades],MATCH($G55,tbl_second_sem_list_of_subjects[Second Semester Subjects],0),1),"")</f>
        <v>82</v>
      </c>
      <c r="K55" s="140" t="str">
        <f>IF(ISNUMBER(J55),
IF(J55&gt;=75,"PASSED","FAILED"),"")</f>
        <v>PASSED</v>
      </c>
      <c r="L55" s="34"/>
    </row>
    <row r="56" spans="1:12" ht="19.95" customHeight="1" x14ac:dyDescent="0.3">
      <c r="F56" s="138" t="str">
        <f>IF($G56="","",INDEX(tbl_second_sem_list_of_subjects[[Subject Category ]],MATCH($G56,tbl_second_sem_list_of_subjects[Second Semester Subjects],0),1))</f>
        <v>CORE</v>
      </c>
      <c r="G56" s="139" t="str" cm="1">
        <f t="array" ref="G56">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ROW(A2)
        ),
        1
    ),
    ""
)</f>
        <v>Filipino sa Piling Larangan</v>
      </c>
      <c r="H56" s="140">
        <f>IF($G56&lt;&gt;"",INDEX(tbl_second_sem_list_of_subjects[Qtr 3 final grade],MATCH($G56,tbl_second_sem_list_of_subjects[Second Semester Subjects],0),1),"")</f>
        <v>91</v>
      </c>
      <c r="I56" s="140">
        <f>IF($G56&lt;&gt;"",INDEX(tbl_second_sem_list_of_subjects[Qtr 4 final grade],MATCH($G56,tbl_second_sem_list_of_subjects[Second Semester Subjects],0),1),"")</f>
        <v>82</v>
      </c>
      <c r="J56" s="140">
        <f>IF($G56&lt;&gt;"",INDEX(tbl_second_sem_list_of_subjects[Sem2 Final Grades],MATCH($G56,tbl_second_sem_list_of_subjects[Second Semester Subjects],0),1),"")</f>
        <v>87</v>
      </c>
      <c r="K56" s="140" t="str">
        <f t="shared" ref="K56:K64" si="1">IF(ISNUMBER(J56),
IF(J56&gt;=75,"PASSED","FAILED"),"")</f>
        <v>PASSED</v>
      </c>
      <c r="L56" s="34"/>
    </row>
    <row r="57" spans="1:12" ht="19.95" customHeight="1" x14ac:dyDescent="0.3">
      <c r="F57" s="138" t="str">
        <f>IF($G57="","",INDEX(tbl_second_sem_list_of_subjects[[Subject Category ]],MATCH($G57,tbl_second_sem_list_of_subjects[Second Semester Subjects],0),1))</f>
        <v>CORE</v>
      </c>
      <c r="G57" s="139" t="str" cm="1">
        <f t="array" ref="G57">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ROW(A3)
        ),
        1
    ),
    ""
)</f>
        <v>Media and Information Literacy</v>
      </c>
      <c r="H57" s="140">
        <f>IF($G57&lt;&gt;"",INDEX(tbl_second_sem_list_of_subjects[Qtr 3 final grade],MATCH($G57,tbl_second_sem_list_of_subjects[Second Semester Subjects],0),1),"")</f>
        <v>82</v>
      </c>
      <c r="I57" s="140">
        <f>IF($G57&lt;&gt;"",INDEX(tbl_second_sem_list_of_subjects[Qtr 4 final grade],MATCH($G57,tbl_second_sem_list_of_subjects[Second Semester Subjects],0),1),"")</f>
        <v>84</v>
      </c>
      <c r="J57" s="140">
        <f>IF($G57&lt;&gt;"",INDEX(tbl_second_sem_list_of_subjects[Sem2 Final Grades],MATCH($G57,tbl_second_sem_list_of_subjects[Second Semester Subjects],0),1),"")</f>
        <v>83</v>
      </c>
      <c r="K57" s="140" t="str">
        <f t="shared" si="1"/>
        <v>PASSED</v>
      </c>
      <c r="L57" s="34"/>
    </row>
    <row r="58" spans="1:12" ht="19.95" customHeight="1" x14ac:dyDescent="0.3">
      <c r="F58" s="138" t="str">
        <f>IF($G58="","",INDEX(tbl_second_sem_list_of_subjects[[Subject Category ]],MATCH($G58,tbl_second_sem_list_of_subjects[Second Semester Subjects],0),1))</f>
        <v>CORE</v>
      </c>
      <c r="G58" s="139" t="str" cm="1">
        <f t="array" ref="G58">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ROW(A4)
        ),
        1
    ),
    ""
)</f>
        <v>Physical Education and Health IV</v>
      </c>
      <c r="H58" s="140">
        <f>IF($G58&lt;&gt;"",INDEX(tbl_second_sem_list_of_subjects[Qtr 3 final grade],MATCH($G58,tbl_second_sem_list_of_subjects[Second Semester Subjects],0),1),"")</f>
        <v>86</v>
      </c>
      <c r="I58" s="140">
        <f>IF($G58&lt;&gt;"",INDEX(tbl_second_sem_list_of_subjects[Qtr 4 final grade],MATCH($G58,tbl_second_sem_list_of_subjects[Second Semester Subjects],0),1),"")</f>
        <v>82</v>
      </c>
      <c r="J58" s="140">
        <f>IF($G58&lt;&gt;"",INDEX(tbl_second_sem_list_of_subjects[Sem2 Final Grades],MATCH($G58,tbl_second_sem_list_of_subjects[Second Semester Subjects],0),1),"")</f>
        <v>84</v>
      </c>
      <c r="K58" s="140" t="str">
        <f t="shared" si="1"/>
        <v>PASSED</v>
      </c>
      <c r="L58" s="34"/>
    </row>
    <row r="59" spans="1:12" ht="19.95" customHeight="1" x14ac:dyDescent="0.3">
      <c r="F59" s="138" t="str">
        <f>IF($G59="","",INDEX(tbl_second_sem_list_of_subjects[[Subject Category ]],MATCH($G59,tbl_second_sem_list_of_subjects[Second Semester Subjects],0),1))</f>
        <v>APPLIED</v>
      </c>
      <c r="G59" s="139" t="str" cm="1">
        <f t="array" ref="G59">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ROW(A5)
        ),
        1
    ),
    ""
)</f>
        <v>Entreprenuership</v>
      </c>
      <c r="H59" s="140">
        <f>IF($G59&lt;&gt;"",INDEX(tbl_second_sem_list_of_subjects[Qtr 3 final grade],MATCH($G59,tbl_second_sem_list_of_subjects[Second Semester Subjects],0),1),"")</f>
        <v>75</v>
      </c>
      <c r="I59" s="140">
        <f>IF($G59&lt;&gt;"",INDEX(tbl_second_sem_list_of_subjects[Qtr 4 final grade],MATCH($G59,tbl_second_sem_list_of_subjects[Second Semester Subjects],0),1),"")</f>
        <v>84</v>
      </c>
      <c r="J59" s="140">
        <f>IF($G59&lt;&gt;"",INDEX(tbl_second_sem_list_of_subjects[Sem2 Final Grades],MATCH($G59,tbl_second_sem_list_of_subjects[Second Semester Subjects],0),1),"")</f>
        <v>80</v>
      </c>
      <c r="K59" s="140" t="str">
        <f t="shared" si="1"/>
        <v>PASSED</v>
      </c>
      <c r="L59" s="34"/>
    </row>
    <row r="60" spans="1:12" ht="19.95" customHeight="1" x14ac:dyDescent="0.3">
      <c r="F60" s="138" t="str">
        <f>IF($G60="","",INDEX(tbl_second_sem_list_of_subjects[[Subject Category ]],MATCH($G60,tbl_second_sem_list_of_subjects[Second Semester Subjects],0),1))</f>
        <v>SPECIALIZED</v>
      </c>
      <c r="G60" s="139" t="str" cm="1">
        <f t="array" ref="G60">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ROW(A6)
        ),
        1
    ),
    ""
)</f>
        <v>Inquiries, Investigations and Immersion</v>
      </c>
      <c r="H60" s="140">
        <f>IF($G60&lt;&gt;"",INDEX(tbl_second_sem_list_of_subjects[Qtr 3 final grade],MATCH($G60,tbl_second_sem_list_of_subjects[Second Semester Subjects],0),1),"")</f>
        <v>86</v>
      </c>
      <c r="I60" s="140">
        <f>IF($G60&lt;&gt;"",INDEX(tbl_second_sem_list_of_subjects[Qtr 4 final grade],MATCH($G60,tbl_second_sem_list_of_subjects[Second Semester Subjects],0),1),"")</f>
        <v>84</v>
      </c>
      <c r="J60" s="140">
        <f>IF($G60&lt;&gt;"",INDEX(tbl_second_sem_list_of_subjects[Sem2 Final Grades],MATCH($G60,tbl_second_sem_list_of_subjects[Second Semester Subjects],0),1),"")</f>
        <v>85</v>
      </c>
      <c r="K60" s="140" t="str">
        <f t="shared" si="1"/>
        <v>PASSED</v>
      </c>
      <c r="L60" s="34"/>
    </row>
    <row r="61" spans="1:12" ht="19.95" customHeight="1" x14ac:dyDescent="0.3">
      <c r="F61" s="138" t="str">
        <f>IF($G61="","",INDEX(tbl_second_sem_list_of_subjects[[Subject Category ]],MATCH($G61,tbl_second_sem_list_of_subjects[Second Semester Subjects],0),1))</f>
        <v>SPECIALIZED</v>
      </c>
      <c r="G61" s="139" t="str" cm="1">
        <f t="array" ref="G61">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ROW(A7)
        ),
        1
    ),
    ""
)</f>
        <v>Work Immersion</v>
      </c>
      <c r="H61" s="140">
        <f>IF($G61&lt;&gt;"",INDEX(tbl_second_sem_list_of_subjects[Qtr 3 final grade],MATCH($G61,tbl_second_sem_list_of_subjects[Second Semester Subjects],0),1),"")</f>
        <v>84</v>
      </c>
      <c r="I61" s="140">
        <f>IF($G61&lt;&gt;"",INDEX(tbl_second_sem_list_of_subjects[Qtr 4 final grade],MATCH($G61,tbl_second_sem_list_of_subjects[Second Semester Subjects],0),1),"")</f>
        <v>83</v>
      </c>
      <c r="J61" s="140">
        <f>IF($G61&lt;&gt;"",INDEX(tbl_second_sem_list_of_subjects[Sem2 Final Grades],MATCH($G61,tbl_second_sem_list_of_subjects[Second Semester Subjects],0),1),"")</f>
        <v>84</v>
      </c>
      <c r="K61" s="140" t="str">
        <f t="shared" si="1"/>
        <v>PASSED</v>
      </c>
      <c r="L61" s="34"/>
    </row>
    <row r="62" spans="1:12" ht="19.95" customHeight="1" x14ac:dyDescent="0.3">
      <c r="F62" s="138" t="str">
        <f>IF($G62="","",INDEX(tbl_second_sem_list_of_subjects[[Subject Category ]],MATCH($G62,tbl_second_sem_list_of_subjects[Second Semester Subjects],0),1))</f>
        <v/>
      </c>
      <c r="G62" s="139" t="str" cm="1">
        <f t="array" ref="G62">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ROW(A8)
        ),
        1
    ),
    ""
)</f>
        <v/>
      </c>
      <c r="H62" s="140" t="str">
        <f>IF($G62&lt;&gt;"",INDEX(tbl_second_sem_list_of_subjects[Qtr 3 final grade],MATCH($G62,tbl_second_sem_list_of_subjects[Second Semester Subjects],0),1),"")</f>
        <v/>
      </c>
      <c r="I62" s="140" t="str">
        <f>IF($G62&lt;&gt;"",INDEX(tbl_second_sem_list_of_subjects[Qtr 4 final grade],MATCH($G62,tbl_second_sem_list_of_subjects[Second Semester Subjects],0),1),"")</f>
        <v/>
      </c>
      <c r="J62" s="140" t="str">
        <f>IF($G62&lt;&gt;"",INDEX(tbl_second_sem_list_of_subjects[Sem2 Final Grades],MATCH($G62,tbl_second_sem_list_of_subjects[Second Semester Subjects],0),1),"")</f>
        <v/>
      </c>
      <c r="K62" s="140" t="str">
        <f t="shared" si="1"/>
        <v/>
      </c>
      <c r="L62" s="34"/>
    </row>
    <row r="63" spans="1:12" ht="19.95" customHeight="1" x14ac:dyDescent="0.3">
      <c r="F63" s="138" t="str">
        <f>IF($G63="","",INDEX(tbl_second_sem_list_of_subjects[[Subject Category ]],MATCH($G63,tbl_second_sem_list_of_subjects[Second Semester Subjects],0),1))</f>
        <v/>
      </c>
      <c r="G63" s="139" t="str" cm="1">
        <f t="array" ref="G63">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ROW(A9)
        ),
        1
    ),
    ""
)</f>
        <v/>
      </c>
      <c r="H63" s="140" t="str">
        <f>IF($G63&lt;&gt;"",INDEX(tbl_second_sem_list_of_subjects[Qtr 3 final grade],MATCH($G63,tbl_second_sem_list_of_subjects[Second Semester Subjects],0),1),"")</f>
        <v/>
      </c>
      <c r="I63" s="140" t="str">
        <f>IF($G63&lt;&gt;"",INDEX(tbl_second_sem_list_of_subjects[Qtr 4 final grade],MATCH($G63,tbl_second_sem_list_of_subjects[Second Semester Subjects],0),1),"")</f>
        <v/>
      </c>
      <c r="J63" s="140" t="str">
        <f>IF($G63&lt;&gt;"",INDEX(tbl_second_sem_list_of_subjects[Sem2 Final Grades],MATCH($G63,tbl_second_sem_list_of_subjects[Second Semester Subjects],0),1),"")</f>
        <v/>
      </c>
      <c r="K63" s="140" t="str">
        <f t="shared" si="1"/>
        <v/>
      </c>
      <c r="L63" s="34"/>
    </row>
    <row r="64" spans="1:12" ht="19.95" customHeight="1" x14ac:dyDescent="0.3">
      <c r="F64" s="207" t="s">
        <v>98</v>
      </c>
      <c r="G64" s="208"/>
      <c r="H64" s="208"/>
      <c r="I64" s="209"/>
      <c r="J64" s="137">
        <f>sem2_average</f>
        <v>84</v>
      </c>
      <c r="K64" s="137" t="str">
        <f t="shared" si="1"/>
        <v>PASSED</v>
      </c>
      <c r="L64" s="34"/>
    </row>
    <row r="67" spans="1:12" ht="7.8" customHeight="1" x14ac:dyDescent="0.3">
      <c r="L67" s="34"/>
    </row>
    <row r="72" spans="1:12" ht="15.6" customHeight="1" x14ac:dyDescent="0.3">
      <c r="L72" s="34"/>
    </row>
    <row r="73" spans="1:12" s="40" customFormat="1" ht="24" customHeight="1" x14ac:dyDescent="0.3">
      <c r="A73" s="43"/>
      <c r="B73" s="43"/>
      <c r="C73" s="43"/>
      <c r="D73" s="43"/>
      <c r="F73" s="210" t="s">
        <v>59</v>
      </c>
      <c r="G73" s="211" t="s">
        <v>60</v>
      </c>
      <c r="H73" s="210" t="s">
        <v>65</v>
      </c>
      <c r="I73" s="210" t="s">
        <v>66</v>
      </c>
      <c r="J73" s="210" t="s">
        <v>67</v>
      </c>
      <c r="K73" s="210" t="s">
        <v>68</v>
      </c>
    </row>
    <row r="74" spans="1:12" s="40" customFormat="1" ht="24" customHeight="1" x14ac:dyDescent="0.3">
      <c r="A74" s="43"/>
      <c r="B74" s="43"/>
      <c r="C74" s="43"/>
      <c r="D74" s="43"/>
      <c r="F74" s="210"/>
      <c r="G74" s="211"/>
      <c r="H74" s="210"/>
      <c r="I74" s="210"/>
      <c r="J74" s="210"/>
      <c r="K74" s="210"/>
    </row>
    <row r="75" spans="1:12" ht="19.95" customHeight="1" x14ac:dyDescent="0.3">
      <c r="F75" s="42"/>
      <c r="G75" s="42"/>
      <c r="H75" s="42"/>
      <c r="I75" s="42"/>
      <c r="J75" s="42"/>
      <c r="K75" s="42"/>
      <c r="L75" s="34"/>
    </row>
    <row r="76" spans="1:12" ht="19.95" customHeight="1" x14ac:dyDescent="0.3">
      <c r="F76" s="42"/>
      <c r="G76" s="42"/>
      <c r="H76" s="42"/>
      <c r="I76" s="42"/>
      <c r="J76" s="42"/>
      <c r="K76" s="42"/>
      <c r="L76" s="34"/>
    </row>
    <row r="77" spans="1:12" ht="19.95" customHeight="1" x14ac:dyDescent="0.3">
      <c r="F77" s="42"/>
      <c r="G77" s="42"/>
      <c r="H77" s="42"/>
      <c r="I77" s="42"/>
      <c r="J77" s="42"/>
      <c r="K77" s="42"/>
      <c r="L77" s="34"/>
    </row>
    <row r="78" spans="1:12" ht="19.95" customHeight="1" x14ac:dyDescent="0.3">
      <c r="F78" s="42"/>
      <c r="G78" s="42"/>
      <c r="H78" s="42"/>
      <c r="I78" s="42"/>
      <c r="J78" s="42"/>
      <c r="K78" s="42"/>
      <c r="L78" s="34"/>
    </row>
    <row r="81" ht="11.4" customHeight="1" x14ac:dyDescent="0.3"/>
  </sheetData>
  <sheetProtection formatRows="0" insertRows="0" selectLockedCells="1"/>
  <mergeCells count="24">
    <mergeCell ref="K40:K41"/>
    <mergeCell ref="H40:H41"/>
    <mergeCell ref="I40:I41"/>
    <mergeCell ref="F19:F20"/>
    <mergeCell ref="G19:G20"/>
    <mergeCell ref="J19:J20"/>
    <mergeCell ref="K19:K20"/>
    <mergeCell ref="H19:I19"/>
    <mergeCell ref="F31:I31"/>
    <mergeCell ref="F40:F41"/>
    <mergeCell ref="G40:G41"/>
    <mergeCell ref="J40:J41"/>
    <mergeCell ref="F64:I64"/>
    <mergeCell ref="K73:K74"/>
    <mergeCell ref="F53:F54"/>
    <mergeCell ref="G53:G54"/>
    <mergeCell ref="H53:I53"/>
    <mergeCell ref="J53:J54"/>
    <mergeCell ref="K53:K54"/>
    <mergeCell ref="F73:F74"/>
    <mergeCell ref="G73:G74"/>
    <mergeCell ref="H73:H74"/>
    <mergeCell ref="I73:I74"/>
    <mergeCell ref="J73:J74"/>
  </mergeCells>
  <dataValidations disablePrompts="1" count="1">
    <dataValidation type="list" allowBlank="1" showInputMessage="1" showErrorMessage="1" sqref="K21:K31 K55:K64" xr:uid="{7139F80C-F694-4AFF-9E20-A39C3FDC4AA6}">
      <formula1>"PASSED,FAILED"</formula1>
    </dataValidation>
  </dataValidations>
  <pageMargins left="0.1" right="0" top="0.25" bottom="0.1" header="0.3" footer="0.3"/>
  <pageSetup paperSize="5" scale="61" orientation="portrait" horizontalDpi="4294967293" r:id="rId1"/>
  <rowBreaks count="2" manualBreakCount="2">
    <brk id="32" min="4" max="10" man="1"/>
    <brk id="33" min="4" max="10" man="1"/>
  </rowBreaks>
  <colBreaks count="3" manualBreakCount="3">
    <brk id="6" min="3" max="79" man="1"/>
    <brk id="7" min="3" max="79" man="1"/>
    <brk id="9" min="3" max="79" man="1"/>
  </colBreaks>
  <drawing r:id="rId2"/>
  <legacy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B17CF-6D79-4928-A34D-3314B2BDEB4C}">
  <sheetPr codeName="Sheet10">
    <tabColor rgb="FF44546A"/>
    <pageSetUpPr fitToPage="1"/>
  </sheetPr>
  <dimension ref="A1:K90"/>
  <sheetViews>
    <sheetView view="pageBreakPreview" zoomScale="85" zoomScaleNormal="70" zoomScaleSheetLayoutView="85" workbookViewId="0">
      <selection activeCell="C25" sqref="C25"/>
    </sheetView>
  </sheetViews>
  <sheetFormatPr defaultColWidth="3.44140625" defaultRowHeight="14.4" x14ac:dyDescent="0.3"/>
  <cols>
    <col min="1" max="1" width="1.21875" style="43" customWidth="1"/>
    <col min="2" max="2" width="10.21875" style="43" customWidth="1"/>
    <col min="3" max="3" width="26.44140625" style="43" customWidth="1"/>
    <col min="4" max="4" width="1.77734375" style="43" customWidth="1"/>
    <col min="5" max="5" width="1.21875" style="34" customWidth="1"/>
    <col min="6" max="6" width="22.33203125" style="34" customWidth="1"/>
    <col min="7" max="7" width="101.109375" style="34" customWidth="1"/>
    <col min="8" max="9" width="11.77734375" style="34" customWidth="1"/>
    <col min="10" max="10" width="14.88671875" style="34" customWidth="1"/>
    <col min="11" max="11" width="11" style="34" customWidth="1"/>
    <col min="12" max="12" width="0.77734375" style="34" customWidth="1"/>
    <col min="13" max="16384" width="3.44140625" style="34"/>
  </cols>
  <sheetData>
    <row r="1" spans="1:11" s="43" customFormat="1" ht="11.4" customHeight="1" x14ac:dyDescent="0.3"/>
    <row r="2" spans="1:11" s="44" customFormat="1" ht="33.6" customHeight="1" x14ac:dyDescent="0.3">
      <c r="F2" s="45"/>
      <c r="G2" s="46"/>
      <c r="H2" s="46"/>
      <c r="I2" s="46"/>
    </row>
    <row r="3" spans="1:11" ht="3.6" customHeight="1" x14ac:dyDescent="0.3">
      <c r="F3" s="35"/>
    </row>
    <row r="4" spans="1:11" ht="16.2" customHeight="1" thickBot="1" x14ac:dyDescent="0.35">
      <c r="F4" s="36" t="s">
        <v>69</v>
      </c>
      <c r="G4" s="37" t="str">
        <f>INDEX(tbl_learners_info[Full Name (Spelled Out)],MATCH(Lookup_Student_Name,tbl_learners_info[Student Name],0),1)</f>
        <v>ROBBIE, MARGOT ELIZABETH</v>
      </c>
      <c r="H4" s="37"/>
      <c r="I4" s="37"/>
      <c r="J4" s="37"/>
      <c r="K4" s="38" t="s">
        <v>58</v>
      </c>
    </row>
    <row r="5" spans="1:11" ht="13.2" customHeight="1" x14ac:dyDescent="0.3"/>
    <row r="6" spans="1:11" ht="13.2" customHeight="1" x14ac:dyDescent="0.3"/>
    <row r="7" spans="1:11" ht="14.4" customHeight="1" x14ac:dyDescent="0.3"/>
    <row r="8" spans="1:11" s="47" customFormat="1" ht="24" customHeight="1" x14ac:dyDescent="0.3">
      <c r="A8" s="43"/>
      <c r="B8" s="43"/>
      <c r="C8" s="43"/>
      <c r="D8" s="43"/>
      <c r="F8" s="224" t="s">
        <v>59</v>
      </c>
      <c r="G8" s="225" t="s">
        <v>60</v>
      </c>
      <c r="H8" s="226" t="s">
        <v>35</v>
      </c>
      <c r="I8" s="227"/>
      <c r="J8" s="224" t="s">
        <v>63</v>
      </c>
      <c r="K8" s="225" t="s">
        <v>64</v>
      </c>
    </row>
    <row r="9" spans="1:11" s="47" customFormat="1" ht="24" customHeight="1" x14ac:dyDescent="0.3">
      <c r="A9" s="43"/>
      <c r="B9" s="43"/>
      <c r="C9" s="43"/>
      <c r="D9" s="43"/>
      <c r="F9" s="224"/>
      <c r="G9" s="225"/>
      <c r="H9" s="66" t="s">
        <v>61</v>
      </c>
      <c r="I9" s="66" t="s">
        <v>62</v>
      </c>
      <c r="J9" s="224"/>
      <c r="K9" s="225"/>
    </row>
    <row r="10" spans="1:11" s="43" customFormat="1" ht="19.95" customHeight="1" x14ac:dyDescent="0.3">
      <c r="F10" s="135" t="str">
        <f>IF($G10="","",INDEX(tbl_first_sem_list_of_subjects[[Subject Category ]],MATCH($G10,tbl_first_sem_list_of_subjects[First Semester Subjects],0),1))</f>
        <v>CORE</v>
      </c>
      <c r="G10" s="136" t="str" cm="1">
        <f t="array" ref="G10">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ROW(A1)
        ),
        1
    ),
    ""
)</f>
        <v>Personal Development</v>
      </c>
      <c r="H10" s="137">
        <f>IF($G10&lt;&gt;"",INDEX(tbl_first_sem_list_of_subjects[Qtr 1 final grade],MATCH($G10,tbl_first_sem_list_of_subjects[First Semester Subjects],0),1),"")</f>
        <v>82</v>
      </c>
      <c r="I10" s="137">
        <f>IF($G10&lt;&gt;"",INDEX(tbl_first_sem_list_of_subjects[Qtr 2 final grade],MATCH($G10,tbl_first_sem_list_of_subjects[First Semester Subjects],0),1),"")</f>
        <v>75</v>
      </c>
      <c r="J10" s="137">
        <f>IF($G10&lt;&gt;"",INDEX(tbl_first_sem_list_of_subjects[Sem1 Final Grades],MATCH($G10,tbl_first_sem_list_of_subjects[First Semester Subjects],0),1),"")</f>
        <v>79</v>
      </c>
      <c r="K10" s="137" t="str">
        <f>IF(ISNUMBER(J10),
IF(J10&gt;=75,"PASSED","FAILED"),"")</f>
        <v>PASSED</v>
      </c>
    </row>
    <row r="11" spans="1:11" s="43" customFormat="1" ht="19.95" customHeight="1" x14ac:dyDescent="0.3">
      <c r="F11" s="135" t="str">
        <f>IF($G11="","",INDEX(tbl_first_sem_list_of_subjects[[Subject Category ]],MATCH($G11,tbl_first_sem_list_of_subjects[First Semester Subjects],0),1))</f>
        <v>CORE</v>
      </c>
      <c r="G11" s="136" t="str" cm="1">
        <f t="array" ref="G11">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ROW(A2)
        ),
        1
    ),
    ""
)</f>
        <v>Understanding Culture, Society and Politics</v>
      </c>
      <c r="H11" s="137">
        <f>IF($G11&lt;&gt;"",INDEX(tbl_first_sem_list_of_subjects[Qtr 1 final grade],MATCH($G11,tbl_first_sem_list_of_subjects[First Semester Subjects],0),1),"")</f>
        <v>78</v>
      </c>
      <c r="I11" s="137">
        <f>IF($G11&lt;&gt;"",INDEX(tbl_first_sem_list_of_subjects[Qtr 2 final grade],MATCH($G11,tbl_first_sem_list_of_subjects[First Semester Subjects],0),1),"")</f>
        <v>78</v>
      </c>
      <c r="J11" s="137">
        <f>IF($G11&lt;&gt;"",INDEX(tbl_first_sem_list_of_subjects[Sem1 Final Grades],MATCH($G11,tbl_first_sem_list_of_subjects[First Semester Subjects],0),1),"")</f>
        <v>78</v>
      </c>
      <c r="K11" s="137" t="str">
        <f t="shared" ref="K11:K20" si="0">IF(ISNUMBER(J11),
IF(J11&gt;=75,"PASSED","FAILED"),"")</f>
        <v>PASSED</v>
      </c>
    </row>
    <row r="12" spans="1:11" s="43" customFormat="1" ht="19.95" customHeight="1" x14ac:dyDescent="0.3">
      <c r="F12" s="135" t="str">
        <f>IF($G12="","",INDEX(tbl_first_sem_list_of_subjects[[Subject Category ]],MATCH($G12,tbl_first_sem_list_of_subjects[First Semester Subjects],0),1))</f>
        <v>CORE</v>
      </c>
      <c r="G12" s="136" t="str" cm="1">
        <f t="array" ref="G12">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ROW(A3)
        ),
        1
    ),
    ""
)</f>
        <v>Physical Education and Health III</v>
      </c>
      <c r="H12" s="137">
        <f>IF($G12&lt;&gt;"",INDEX(tbl_first_sem_list_of_subjects[Qtr 1 final grade],MATCH($G12,tbl_first_sem_list_of_subjects[First Semester Subjects],0),1),"")</f>
        <v>89</v>
      </c>
      <c r="I12" s="137">
        <f>IF($G12&lt;&gt;"",INDEX(tbl_first_sem_list_of_subjects[Qtr 2 final grade],MATCH($G12,tbl_first_sem_list_of_subjects[First Semester Subjects],0),1),"")</f>
        <v>87</v>
      </c>
      <c r="J12" s="137">
        <f>IF($G12&lt;&gt;"",INDEX(tbl_first_sem_list_of_subjects[Sem1 Final Grades],MATCH($G12,tbl_first_sem_list_of_subjects[First Semester Subjects],0),1),"")</f>
        <v>88</v>
      </c>
      <c r="K12" s="137" t="str">
        <f t="shared" si="0"/>
        <v>PASSED</v>
      </c>
    </row>
    <row r="13" spans="1:11" s="43" customFormat="1" ht="19.95" customHeight="1" x14ac:dyDescent="0.3">
      <c r="F13" s="135" t="str">
        <f>IF($G13="","",INDEX(tbl_first_sem_list_of_subjects[[Subject Category ]],MATCH($G13,tbl_first_sem_list_of_subjects[First Semester Subjects],0),1))</f>
        <v>APPLIED</v>
      </c>
      <c r="G13" s="136" t="str" cm="1">
        <f t="array" ref="G13">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ROW(A4)
        ),
        1
    ),
    ""
)</f>
        <v>English for Academic and Professional Purposes</v>
      </c>
      <c r="H13" s="137">
        <f>IF($G13&lt;&gt;"",INDEX(tbl_first_sem_list_of_subjects[Qtr 1 final grade],MATCH($G13,tbl_first_sem_list_of_subjects[First Semester Subjects],0),1),"")</f>
        <v>75</v>
      </c>
      <c r="I13" s="137">
        <f>IF($G13&lt;&gt;"",INDEX(tbl_first_sem_list_of_subjects[Qtr 2 final grade],MATCH($G13,tbl_first_sem_list_of_subjects[First Semester Subjects],0),1),"")</f>
        <v>77</v>
      </c>
      <c r="J13" s="137">
        <f>IF($G13&lt;&gt;"",INDEX(tbl_first_sem_list_of_subjects[Sem1 Final Grades],MATCH($G13,tbl_first_sem_list_of_subjects[First Semester Subjects],0),1),"")</f>
        <v>76</v>
      </c>
      <c r="K13" s="137" t="str">
        <f t="shared" si="0"/>
        <v>PASSED</v>
      </c>
    </row>
    <row r="14" spans="1:11" s="43" customFormat="1" ht="19.95" customHeight="1" x14ac:dyDescent="0.3">
      <c r="F14" s="135" t="str">
        <f>IF($G14="","",INDEX(tbl_first_sem_list_of_subjects[[Subject Category ]],MATCH($G14,tbl_first_sem_list_of_subjects[First Semester Subjects],0),1))</f>
        <v>APPLIED</v>
      </c>
      <c r="G14" s="136" t="str" cm="1">
        <f t="array" ref="G14">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ROW(A5)
        ),
        1
    ),
    ""
)</f>
        <v>Practical Research 2</v>
      </c>
      <c r="H14" s="137">
        <f>IF($G14&lt;&gt;"",INDEX(tbl_first_sem_list_of_subjects[Qtr 1 final grade],MATCH($G14,tbl_first_sem_list_of_subjects[First Semester Subjects],0),1),"")</f>
        <v>84</v>
      </c>
      <c r="I14" s="137">
        <f>IF($G14&lt;&gt;"",INDEX(tbl_first_sem_list_of_subjects[Qtr 2 final grade],MATCH($G14,tbl_first_sem_list_of_subjects[First Semester Subjects],0),1),"")</f>
        <v>90</v>
      </c>
      <c r="J14" s="137">
        <f>IF($G14&lt;&gt;"",INDEX(tbl_first_sem_list_of_subjects[Sem1 Final Grades],MATCH($G14,tbl_first_sem_list_of_subjects[First Semester Subjects],0),1),"")</f>
        <v>87</v>
      </c>
      <c r="K14" s="137" t="str">
        <f t="shared" si="0"/>
        <v>PASSED</v>
      </c>
    </row>
    <row r="15" spans="1:11" s="43" customFormat="1" ht="19.95" customHeight="1" x14ac:dyDescent="0.3">
      <c r="F15" s="135" t="str">
        <f>IF($G15="","",INDEX(tbl_first_sem_list_of_subjects[[Subject Category ]],MATCH($G15,tbl_first_sem_list_of_subjects[First Semester Subjects],0),1))</f>
        <v>SPECIALIZED</v>
      </c>
      <c r="G15" s="136" t="str" cm="1">
        <f t="array" ref="G15">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ROW(A6)
        ),
        1
    ),
    ""
)</f>
        <v>Automotive Servicing</v>
      </c>
      <c r="H15" s="137">
        <f>IF($G15&lt;&gt;"",INDEX(tbl_first_sem_list_of_subjects[Qtr 1 final grade],MATCH($G15,tbl_first_sem_list_of_subjects[First Semester Subjects],0),1),"")</f>
        <v>82</v>
      </c>
      <c r="I15" s="137">
        <f>IF($G15&lt;&gt;"",INDEX(tbl_first_sem_list_of_subjects[Qtr 2 final grade],MATCH($G15,tbl_first_sem_list_of_subjects[First Semester Subjects],0),1),"")</f>
        <v>87</v>
      </c>
      <c r="J15" s="137">
        <f>IF($G15&lt;&gt;"",INDEX(tbl_first_sem_list_of_subjects[Sem1 Final Grades],MATCH($G15,tbl_first_sem_list_of_subjects[First Semester Subjects],0),1),"")</f>
        <v>85</v>
      </c>
      <c r="K15" s="137" t="str">
        <f t="shared" si="0"/>
        <v>PASSED</v>
      </c>
    </row>
    <row r="16" spans="1:11" s="43" customFormat="1" ht="19.95" customHeight="1" x14ac:dyDescent="0.3">
      <c r="F16" s="135" t="str">
        <f>IF($G16="","",INDEX(tbl_first_sem_list_of_subjects[[Subject Category ]],MATCH($G16,tbl_first_sem_list_of_subjects[First Semester Subjects],0),1))</f>
        <v/>
      </c>
      <c r="G16" s="136" t="str" cm="1">
        <f t="array" ref="G16">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ROW(A7)
        ),
        1
    ),
    ""
)</f>
        <v/>
      </c>
      <c r="H16" s="137" t="str">
        <f>IF($G16&lt;&gt;"",INDEX(tbl_first_sem_list_of_subjects[Qtr 1 final grade],MATCH($G16,tbl_first_sem_list_of_subjects[First Semester Subjects],0),1),"")</f>
        <v/>
      </c>
      <c r="I16" s="137" t="str">
        <f>IF($G16&lt;&gt;"",INDEX(tbl_first_sem_list_of_subjects[Qtr 2 final grade],MATCH($G16,tbl_first_sem_list_of_subjects[First Semester Subjects],0),1),"")</f>
        <v/>
      </c>
      <c r="J16" s="137" t="str">
        <f>IF($G16&lt;&gt;"",INDEX(tbl_first_sem_list_of_subjects[Sem1 Final Grades],MATCH($G16,tbl_first_sem_list_of_subjects[First Semester Subjects],0),1),"")</f>
        <v/>
      </c>
      <c r="K16" s="137" t="str">
        <f t="shared" si="0"/>
        <v/>
      </c>
    </row>
    <row r="17" spans="1:11" s="43" customFormat="1" ht="19.95" customHeight="1" x14ac:dyDescent="0.3">
      <c r="F17" s="135" t="str">
        <f>IF($G17="","",INDEX(tbl_first_sem_list_of_subjects[[Subject Category ]],MATCH($G17,tbl_first_sem_list_of_subjects[First Semester Subjects],0),1))</f>
        <v/>
      </c>
      <c r="G17" s="136" t="str" cm="1">
        <f t="array" ref="G17">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ROW(A8)
        ),
        1
    ),
    ""
)</f>
        <v/>
      </c>
      <c r="H17" s="137" t="str">
        <f>IF($G17&lt;&gt;"",INDEX(tbl_first_sem_list_of_subjects[Qtr 1 final grade],MATCH($G17,tbl_first_sem_list_of_subjects[First Semester Subjects],0),1),"")</f>
        <v/>
      </c>
      <c r="I17" s="137" t="str">
        <f>IF($G17&lt;&gt;"",INDEX(tbl_first_sem_list_of_subjects[Qtr 2 final grade],MATCH($G17,tbl_first_sem_list_of_subjects[First Semester Subjects],0),1),"")</f>
        <v/>
      </c>
      <c r="J17" s="137" t="str">
        <f>IF($G17&lt;&gt;"",INDEX(tbl_first_sem_list_of_subjects[Sem1 Final Grades],MATCH($G17,tbl_first_sem_list_of_subjects[First Semester Subjects],0),1),"")</f>
        <v/>
      </c>
      <c r="K17" s="137" t="str">
        <f t="shared" si="0"/>
        <v/>
      </c>
    </row>
    <row r="18" spans="1:11" s="43" customFormat="1" ht="19.95" customHeight="1" x14ac:dyDescent="0.3">
      <c r="F18" s="135" t="str">
        <f>IF($G18="","",INDEX(tbl_first_sem_list_of_subjects[[Subject Category ]],MATCH($G18,tbl_first_sem_list_of_subjects[First Semester Subjects],0),1))</f>
        <v/>
      </c>
      <c r="G18" s="136" t="str" cm="1">
        <f t="array" ref="G18">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ROW(A9)
        ),
        1
    ),
    ""
)</f>
        <v/>
      </c>
      <c r="H18" s="137" t="str">
        <f>IF($G18&lt;&gt;"",INDEX(tbl_first_sem_list_of_subjects[Qtr 1 final grade],MATCH($G18,tbl_first_sem_list_of_subjects[First Semester Subjects],0),1),"")</f>
        <v/>
      </c>
      <c r="I18" s="137" t="str">
        <f>IF($G18&lt;&gt;"",INDEX(tbl_first_sem_list_of_subjects[Qtr 2 final grade],MATCH($G18,tbl_first_sem_list_of_subjects[First Semester Subjects],0),1),"")</f>
        <v/>
      </c>
      <c r="J18" s="137" t="str">
        <f>IF($G18&lt;&gt;"",INDEX(tbl_first_sem_list_of_subjects[Sem1 Final Grades],MATCH($G18,tbl_first_sem_list_of_subjects[First Semester Subjects],0),1),"")</f>
        <v/>
      </c>
      <c r="K18" s="137" t="str">
        <f t="shared" si="0"/>
        <v/>
      </c>
    </row>
    <row r="19" spans="1:11" s="43" customFormat="1" ht="19.95" customHeight="1" x14ac:dyDescent="0.3">
      <c r="F19" s="135" t="str">
        <f>IF($G19="","",INDEX(tbl_first_sem_list_of_subjects[[Subject Category ]],MATCH($G19,tbl_first_sem_list_of_subjects[First Semester Subjects],0),1))</f>
        <v/>
      </c>
      <c r="G19" s="136" t="str" cm="1">
        <f t="array" ref="G19">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ROW(A10)
        ),
        1
    ),
    ""
)</f>
        <v/>
      </c>
      <c r="H19" s="137" t="str">
        <f>IF($G19&lt;&gt;"",INDEX(tbl_first_sem_list_of_subjects[Qtr 1 final grade],MATCH($G19,tbl_first_sem_list_of_subjects[First Semester Subjects],0),1),"")</f>
        <v/>
      </c>
      <c r="I19" s="137" t="str">
        <f>IF($G19&lt;&gt;"",INDEX(tbl_first_sem_list_of_subjects[Qtr 2 final grade],MATCH($G19,tbl_first_sem_list_of_subjects[First Semester Subjects],0),1),"")</f>
        <v/>
      </c>
      <c r="J19" s="137" t="str">
        <f>IF($G19&lt;&gt;"",INDEX(tbl_first_sem_list_of_subjects[Sem1 Final Grades],MATCH($G19,tbl_first_sem_list_of_subjects[First Semester Subjects],0),1),"")</f>
        <v/>
      </c>
      <c r="K19" s="137" t="str">
        <f t="shared" si="0"/>
        <v/>
      </c>
    </row>
    <row r="20" spans="1:11" s="43" customFormat="1" ht="19.95" customHeight="1" x14ac:dyDescent="0.3">
      <c r="F20" s="221" t="s">
        <v>98</v>
      </c>
      <c r="G20" s="222"/>
      <c r="H20" s="222"/>
      <c r="I20" s="223"/>
      <c r="J20" s="137">
        <f>sem1_average</f>
        <v>82</v>
      </c>
      <c r="K20" s="137" t="str">
        <f t="shared" si="0"/>
        <v>PASSED</v>
      </c>
    </row>
    <row r="28" spans="1:11" ht="8.4" customHeight="1" x14ac:dyDescent="0.3"/>
    <row r="29" spans="1:11" s="40" customFormat="1" ht="24" customHeight="1" x14ac:dyDescent="0.3">
      <c r="A29" s="43"/>
      <c r="B29" s="43"/>
      <c r="C29" s="43"/>
      <c r="D29" s="43"/>
      <c r="F29" s="210" t="s">
        <v>59</v>
      </c>
      <c r="G29" s="211" t="s">
        <v>60</v>
      </c>
      <c r="H29" s="210" t="s">
        <v>65</v>
      </c>
      <c r="I29" s="210" t="s">
        <v>66</v>
      </c>
      <c r="J29" s="210" t="s">
        <v>67</v>
      </c>
      <c r="K29" s="210" t="s">
        <v>68</v>
      </c>
    </row>
    <row r="30" spans="1:11" s="40" customFormat="1" ht="24" customHeight="1" x14ac:dyDescent="0.3">
      <c r="A30" s="43"/>
      <c r="B30" s="43"/>
      <c r="C30" s="43"/>
      <c r="D30" s="43"/>
      <c r="F30" s="210"/>
      <c r="G30" s="211"/>
      <c r="H30" s="210"/>
      <c r="I30" s="210"/>
      <c r="J30" s="210"/>
      <c r="K30" s="210"/>
    </row>
    <row r="31" spans="1:11" ht="19.95" customHeight="1" x14ac:dyDescent="0.3">
      <c r="F31" s="42"/>
      <c r="G31" s="42"/>
      <c r="H31" s="42"/>
      <c r="I31" s="42"/>
      <c r="J31" s="42"/>
      <c r="K31" s="42"/>
    </row>
    <row r="32" spans="1:11" ht="19.95" customHeight="1" x14ac:dyDescent="0.3">
      <c r="F32" s="42"/>
      <c r="G32" s="42"/>
      <c r="H32" s="42"/>
      <c r="I32" s="42"/>
      <c r="J32" s="42"/>
      <c r="K32" s="42"/>
    </row>
    <row r="33" spans="1:11" ht="19.95" customHeight="1" x14ac:dyDescent="0.3">
      <c r="F33" s="42"/>
      <c r="G33" s="42"/>
      <c r="H33" s="42"/>
      <c r="I33" s="42"/>
      <c r="J33" s="42"/>
      <c r="K33" s="42"/>
    </row>
    <row r="34" spans="1:11" ht="19.95" customHeight="1" x14ac:dyDescent="0.3">
      <c r="F34" s="42"/>
      <c r="G34" s="42"/>
      <c r="H34" s="42"/>
      <c r="I34" s="42"/>
      <c r="J34" s="42"/>
      <c r="K34" s="42"/>
    </row>
    <row r="40" spans="1:11" ht="19.2" customHeight="1" x14ac:dyDescent="0.3"/>
    <row r="41" spans="1:11" s="40" customFormat="1" ht="24" customHeight="1" x14ac:dyDescent="0.3">
      <c r="A41" s="43"/>
      <c r="B41" s="43"/>
      <c r="C41" s="43"/>
      <c r="D41" s="43"/>
      <c r="F41" s="210" t="s">
        <v>59</v>
      </c>
      <c r="G41" s="211" t="s">
        <v>60</v>
      </c>
      <c r="H41" s="212" t="s">
        <v>35</v>
      </c>
      <c r="I41" s="213"/>
      <c r="J41" s="210" t="s">
        <v>63</v>
      </c>
      <c r="K41" s="211" t="s">
        <v>64</v>
      </c>
    </row>
    <row r="42" spans="1:11" s="40" customFormat="1" ht="24" customHeight="1" x14ac:dyDescent="0.3">
      <c r="A42" s="43"/>
      <c r="B42" s="43"/>
      <c r="C42" s="43"/>
      <c r="D42" s="43"/>
      <c r="F42" s="210"/>
      <c r="G42" s="211"/>
      <c r="H42" s="41" t="s">
        <v>70</v>
      </c>
      <c r="I42" s="41" t="s">
        <v>71</v>
      </c>
      <c r="J42" s="210"/>
      <c r="K42" s="211"/>
    </row>
    <row r="43" spans="1:11" ht="19.95" customHeight="1" x14ac:dyDescent="0.3">
      <c r="F43" s="138" t="str">
        <f>IF($G43="","",INDEX(tbl_second_sem_list_of_subjects[[Subject Category ]],MATCH($G43,tbl_second_sem_list_of_subjects[Second Semester Subjects],0),1))</f>
        <v>CORE</v>
      </c>
      <c r="G43" s="139" t="str" cm="1">
        <f t="array" ref="G43">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ROW(A1)
        ),
        1
    ),
    ""
)</f>
        <v>Contemporary Philippine Arts from the Regions</v>
      </c>
      <c r="H43" s="140">
        <f>IF($G43&lt;&gt;"",INDEX(tbl_second_sem_list_of_subjects[Qtr 3 final grade],MATCH($G43,tbl_second_sem_list_of_subjects[Second Semester Subjects],0),1),"")</f>
        <v>82</v>
      </c>
      <c r="I43" s="140">
        <f>IF($G43&lt;&gt;"",INDEX(tbl_second_sem_list_of_subjects[Qtr 4 final grade],MATCH($G43,tbl_second_sem_list_of_subjects[Second Semester Subjects],0),1),"")</f>
        <v>82</v>
      </c>
      <c r="J43" s="140">
        <f>IF($G43&lt;&gt;"",INDEX(tbl_second_sem_list_of_subjects[Sem2 Final Grades],MATCH($G43,tbl_second_sem_list_of_subjects[Second Semester Subjects],0),1),"")</f>
        <v>82</v>
      </c>
      <c r="K43" s="140" t="str">
        <f>IF(ISNUMBER(J43),
IF(J43&gt;=75,"PASSED","FAILED"),"")</f>
        <v>PASSED</v>
      </c>
    </row>
    <row r="44" spans="1:11" ht="19.95" customHeight="1" x14ac:dyDescent="0.3">
      <c r="F44" s="138" t="str">
        <f>IF($G44="","",INDEX(tbl_second_sem_list_of_subjects[[Subject Category ]],MATCH($G44,tbl_second_sem_list_of_subjects[Second Semester Subjects],0),1))</f>
        <v>CORE</v>
      </c>
      <c r="G44" s="139" t="str" cm="1">
        <f t="array" ref="G44">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ROW(A2)
        ),
        1
    ),
    ""
)</f>
        <v>Filipino sa Piling Larangan</v>
      </c>
      <c r="H44" s="140">
        <f>IF($G44&lt;&gt;"",INDEX(tbl_second_sem_list_of_subjects[Qtr 3 final grade],MATCH($G44,tbl_second_sem_list_of_subjects[Second Semester Subjects],0),1),"")</f>
        <v>91</v>
      </c>
      <c r="I44" s="140">
        <f>IF($G44&lt;&gt;"",INDEX(tbl_second_sem_list_of_subjects[Qtr 4 final grade],MATCH($G44,tbl_second_sem_list_of_subjects[Second Semester Subjects],0),1),"")</f>
        <v>82</v>
      </c>
      <c r="J44" s="140">
        <f>IF($G44&lt;&gt;"",INDEX(tbl_second_sem_list_of_subjects[Sem2 Final Grades],MATCH($G44,tbl_second_sem_list_of_subjects[Second Semester Subjects],0),1),"")</f>
        <v>87</v>
      </c>
      <c r="K44" s="140" t="str">
        <f t="shared" ref="K44:K52" si="1">IF(ISNUMBER(J44),
IF(J44&gt;=75,"PASSED","FAILED"),"")</f>
        <v>PASSED</v>
      </c>
    </row>
    <row r="45" spans="1:11" ht="19.95" customHeight="1" x14ac:dyDescent="0.3">
      <c r="F45" s="138" t="str">
        <f>IF($G45="","",INDEX(tbl_second_sem_list_of_subjects[[Subject Category ]],MATCH($G45,tbl_second_sem_list_of_subjects[Second Semester Subjects],0),1))</f>
        <v>CORE</v>
      </c>
      <c r="G45" s="139" t="str" cm="1">
        <f t="array" ref="G45">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ROW(A3)
        ),
        1
    ),
    ""
)</f>
        <v>Media and Information Literacy</v>
      </c>
      <c r="H45" s="140">
        <f>IF($G45&lt;&gt;"",INDEX(tbl_second_sem_list_of_subjects[Qtr 3 final grade],MATCH($G45,tbl_second_sem_list_of_subjects[Second Semester Subjects],0),1),"")</f>
        <v>82</v>
      </c>
      <c r="I45" s="140">
        <f>IF($G45&lt;&gt;"",INDEX(tbl_second_sem_list_of_subjects[Qtr 4 final grade],MATCH($G45,tbl_second_sem_list_of_subjects[Second Semester Subjects],0),1),"")</f>
        <v>84</v>
      </c>
      <c r="J45" s="140">
        <f>IF($G45&lt;&gt;"",INDEX(tbl_second_sem_list_of_subjects[Sem2 Final Grades],MATCH($G45,tbl_second_sem_list_of_subjects[Second Semester Subjects],0),1),"")</f>
        <v>83</v>
      </c>
      <c r="K45" s="140" t="str">
        <f t="shared" si="1"/>
        <v>PASSED</v>
      </c>
    </row>
    <row r="46" spans="1:11" ht="19.95" customHeight="1" x14ac:dyDescent="0.3">
      <c r="F46" s="138" t="str">
        <f>IF($G46="","",INDEX(tbl_second_sem_list_of_subjects[[Subject Category ]],MATCH($G46,tbl_second_sem_list_of_subjects[Second Semester Subjects],0),1))</f>
        <v>CORE</v>
      </c>
      <c r="G46" s="139" t="str" cm="1">
        <f t="array" ref="G46">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ROW(A4)
        ),
        1
    ),
    ""
)</f>
        <v>Physical Education and Health IV</v>
      </c>
      <c r="H46" s="140">
        <f>IF($G46&lt;&gt;"",INDEX(tbl_second_sem_list_of_subjects[Qtr 3 final grade],MATCH($G46,tbl_second_sem_list_of_subjects[Second Semester Subjects],0),1),"")</f>
        <v>86</v>
      </c>
      <c r="I46" s="140">
        <f>IF($G46&lt;&gt;"",INDEX(tbl_second_sem_list_of_subjects[Qtr 4 final grade],MATCH($G46,tbl_second_sem_list_of_subjects[Second Semester Subjects],0),1),"")</f>
        <v>82</v>
      </c>
      <c r="J46" s="140">
        <f>IF($G46&lt;&gt;"",INDEX(tbl_second_sem_list_of_subjects[Sem2 Final Grades],MATCH($G46,tbl_second_sem_list_of_subjects[Second Semester Subjects],0),1),"")</f>
        <v>84</v>
      </c>
      <c r="K46" s="140" t="str">
        <f t="shared" si="1"/>
        <v>PASSED</v>
      </c>
    </row>
    <row r="47" spans="1:11" ht="19.95" customHeight="1" x14ac:dyDescent="0.3">
      <c r="F47" s="138" t="str">
        <f>IF($G47="","",INDEX(tbl_second_sem_list_of_subjects[[Subject Category ]],MATCH($G47,tbl_second_sem_list_of_subjects[Second Semester Subjects],0),1))</f>
        <v>APPLIED</v>
      </c>
      <c r="G47" s="139" t="str" cm="1">
        <f t="array" ref="G47">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ROW(A5)
        ),
        1
    ),
    ""
)</f>
        <v>Entreprenuership</v>
      </c>
      <c r="H47" s="140">
        <f>IF($G47&lt;&gt;"",INDEX(tbl_second_sem_list_of_subjects[Qtr 3 final grade],MATCH($G47,tbl_second_sem_list_of_subjects[Second Semester Subjects],0),1),"")</f>
        <v>75</v>
      </c>
      <c r="I47" s="140">
        <f>IF($G47&lt;&gt;"",INDEX(tbl_second_sem_list_of_subjects[Qtr 4 final grade],MATCH($G47,tbl_second_sem_list_of_subjects[Second Semester Subjects],0),1),"")</f>
        <v>84</v>
      </c>
      <c r="J47" s="140">
        <f>IF($G47&lt;&gt;"",INDEX(tbl_second_sem_list_of_subjects[Sem2 Final Grades],MATCH($G47,tbl_second_sem_list_of_subjects[Second Semester Subjects],0),1),"")</f>
        <v>80</v>
      </c>
      <c r="K47" s="140" t="str">
        <f t="shared" si="1"/>
        <v>PASSED</v>
      </c>
    </row>
    <row r="48" spans="1:11" ht="19.95" customHeight="1" x14ac:dyDescent="0.3">
      <c r="F48" s="138" t="str">
        <f>IF($G48="","",INDEX(tbl_second_sem_list_of_subjects[[Subject Category ]],MATCH($G48,tbl_second_sem_list_of_subjects[Second Semester Subjects],0),1))</f>
        <v>SPECIALIZED</v>
      </c>
      <c r="G48" s="139" t="str" cm="1">
        <f t="array" ref="G48">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ROW(A6)
        ),
        1
    ),
    ""
)</f>
        <v>Inquiries, Investigations and Immersion</v>
      </c>
      <c r="H48" s="140">
        <f>IF($G48&lt;&gt;"",INDEX(tbl_second_sem_list_of_subjects[Qtr 3 final grade],MATCH($G48,tbl_second_sem_list_of_subjects[Second Semester Subjects],0),1),"")</f>
        <v>86</v>
      </c>
      <c r="I48" s="140">
        <f>IF($G48&lt;&gt;"",INDEX(tbl_second_sem_list_of_subjects[Qtr 4 final grade],MATCH($G48,tbl_second_sem_list_of_subjects[Second Semester Subjects],0),1),"")</f>
        <v>84</v>
      </c>
      <c r="J48" s="140">
        <f>IF($G48&lt;&gt;"",INDEX(tbl_second_sem_list_of_subjects[Sem2 Final Grades],MATCH($G48,tbl_second_sem_list_of_subjects[Second Semester Subjects],0),1),"")</f>
        <v>85</v>
      </c>
      <c r="K48" s="140" t="str">
        <f t="shared" si="1"/>
        <v>PASSED</v>
      </c>
    </row>
    <row r="49" spans="1:11" ht="19.95" customHeight="1" x14ac:dyDescent="0.3">
      <c r="F49" s="138" t="str">
        <f>IF($G49="","",INDEX(tbl_second_sem_list_of_subjects[[Subject Category ]],MATCH($G49,tbl_second_sem_list_of_subjects[Second Semester Subjects],0),1))</f>
        <v>SPECIALIZED</v>
      </c>
      <c r="G49" s="139" t="str" cm="1">
        <f t="array" ref="G49">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ROW(A7)
        ),
        1
    ),
    ""
)</f>
        <v>Work Immersion</v>
      </c>
      <c r="H49" s="140">
        <f>IF($G49&lt;&gt;"",INDEX(tbl_second_sem_list_of_subjects[Qtr 3 final grade],MATCH($G49,tbl_second_sem_list_of_subjects[Second Semester Subjects],0),1),"")</f>
        <v>84</v>
      </c>
      <c r="I49" s="140">
        <f>IF($G49&lt;&gt;"",INDEX(tbl_second_sem_list_of_subjects[Qtr 4 final grade],MATCH($G49,tbl_second_sem_list_of_subjects[Second Semester Subjects],0),1),"")</f>
        <v>83</v>
      </c>
      <c r="J49" s="140">
        <f>IF($G49&lt;&gt;"",INDEX(tbl_second_sem_list_of_subjects[Sem2 Final Grades],MATCH($G49,tbl_second_sem_list_of_subjects[Second Semester Subjects],0),1),"")</f>
        <v>84</v>
      </c>
      <c r="K49" s="140" t="str">
        <f t="shared" si="1"/>
        <v>PASSED</v>
      </c>
    </row>
    <row r="50" spans="1:11" ht="19.95" customHeight="1" x14ac:dyDescent="0.3">
      <c r="F50" s="138" t="str">
        <f>IF($G50="","",INDEX(tbl_second_sem_list_of_subjects[[Subject Category ]],MATCH($G50,tbl_second_sem_list_of_subjects[Second Semester Subjects],0),1))</f>
        <v/>
      </c>
      <c r="G50" s="139" t="str" cm="1">
        <f t="array" ref="G50">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ROW(A8)
        ),
        1
    ),
    ""
)</f>
        <v/>
      </c>
      <c r="H50" s="140" t="str">
        <f>IF($G50&lt;&gt;"",INDEX(tbl_second_sem_list_of_subjects[Qtr 3 final grade],MATCH($G50,tbl_second_sem_list_of_subjects[Second Semester Subjects],0),1),"")</f>
        <v/>
      </c>
      <c r="I50" s="140" t="str">
        <f>IF($G50&lt;&gt;"",INDEX(tbl_second_sem_list_of_subjects[Qtr 4 final grade],MATCH($G50,tbl_second_sem_list_of_subjects[Second Semester Subjects],0),1),"")</f>
        <v/>
      </c>
      <c r="J50" s="140" t="str">
        <f>IF($G50&lt;&gt;"",INDEX(tbl_second_sem_list_of_subjects[Sem2 Final Grades],MATCH($G50,tbl_second_sem_list_of_subjects[Second Semester Subjects],0),1),"")</f>
        <v/>
      </c>
      <c r="K50" s="140" t="str">
        <f t="shared" si="1"/>
        <v/>
      </c>
    </row>
    <row r="51" spans="1:11" ht="19.95" customHeight="1" x14ac:dyDescent="0.3">
      <c r="F51" s="138" t="str">
        <f>IF($G51="","",INDEX(tbl_second_sem_list_of_subjects[[Subject Category ]],MATCH($G51,tbl_second_sem_list_of_subjects[Second Semester Subjects],0),1))</f>
        <v/>
      </c>
      <c r="G51" s="139" t="str" cm="1">
        <f t="array" ref="G51">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ROW(A9)
        ),
        1
    ),
    ""
)</f>
        <v/>
      </c>
      <c r="H51" s="140" t="str">
        <f>IF($G51&lt;&gt;"",INDEX(tbl_second_sem_list_of_subjects[Qtr 3 final grade],MATCH($G51,tbl_second_sem_list_of_subjects[Second Semester Subjects],0),1),"")</f>
        <v/>
      </c>
      <c r="I51" s="140" t="str">
        <f>IF($G51&lt;&gt;"",INDEX(tbl_second_sem_list_of_subjects[Qtr 4 final grade],MATCH($G51,tbl_second_sem_list_of_subjects[Second Semester Subjects],0),1),"")</f>
        <v/>
      </c>
      <c r="J51" s="140" t="str">
        <f>IF($G51&lt;&gt;"",INDEX(tbl_second_sem_list_of_subjects[Sem2 Final Grades],MATCH($G51,tbl_second_sem_list_of_subjects[Second Semester Subjects],0),1),"")</f>
        <v/>
      </c>
      <c r="K51" s="140" t="str">
        <f t="shared" si="1"/>
        <v/>
      </c>
    </row>
    <row r="52" spans="1:11" ht="19.95" customHeight="1" x14ac:dyDescent="0.3">
      <c r="F52" s="207" t="s">
        <v>98</v>
      </c>
      <c r="G52" s="208"/>
      <c r="H52" s="208"/>
      <c r="I52" s="209"/>
      <c r="J52" s="140">
        <f>sem2_average</f>
        <v>84</v>
      </c>
      <c r="K52" s="140" t="str">
        <f t="shared" si="1"/>
        <v>PASSED</v>
      </c>
    </row>
    <row r="60" spans="1:11" ht="7.8" customHeight="1" x14ac:dyDescent="0.3"/>
    <row r="61" spans="1:11" s="40" customFormat="1" ht="24" customHeight="1" x14ac:dyDescent="0.3">
      <c r="A61" s="43"/>
      <c r="B61" s="43"/>
      <c r="C61" s="43"/>
      <c r="D61" s="43"/>
      <c r="F61" s="210" t="s">
        <v>59</v>
      </c>
      <c r="G61" s="211" t="s">
        <v>60</v>
      </c>
      <c r="H61" s="210" t="s">
        <v>65</v>
      </c>
      <c r="I61" s="210" t="s">
        <v>66</v>
      </c>
      <c r="J61" s="210" t="s">
        <v>67</v>
      </c>
      <c r="K61" s="210" t="s">
        <v>68</v>
      </c>
    </row>
    <row r="62" spans="1:11" s="40" customFormat="1" ht="24" customHeight="1" x14ac:dyDescent="0.3">
      <c r="A62" s="43"/>
      <c r="B62" s="43"/>
      <c r="C62" s="43"/>
      <c r="D62" s="43"/>
      <c r="F62" s="210"/>
      <c r="G62" s="211"/>
      <c r="H62" s="210"/>
      <c r="I62" s="210"/>
      <c r="J62" s="210"/>
      <c r="K62" s="210"/>
    </row>
    <row r="63" spans="1:11" ht="19.95" customHeight="1" x14ac:dyDescent="0.3">
      <c r="F63" s="42"/>
      <c r="G63" s="42"/>
      <c r="H63" s="42"/>
      <c r="I63" s="42"/>
      <c r="J63" s="42"/>
      <c r="K63" s="42"/>
    </row>
    <row r="64" spans="1:11" ht="19.95" customHeight="1" x14ac:dyDescent="0.3">
      <c r="F64" s="42"/>
      <c r="G64" s="42"/>
      <c r="H64" s="42"/>
      <c r="I64" s="42"/>
      <c r="J64" s="42"/>
      <c r="K64" s="42"/>
    </row>
    <row r="65" spans="6:11" ht="19.95" customHeight="1" x14ac:dyDescent="0.3">
      <c r="F65" s="42"/>
      <c r="G65" s="42"/>
      <c r="H65" s="42"/>
      <c r="I65" s="42"/>
      <c r="J65" s="42"/>
      <c r="K65" s="42"/>
    </row>
    <row r="66" spans="6:11" ht="19.95" customHeight="1" x14ac:dyDescent="0.3">
      <c r="F66" s="42"/>
      <c r="G66" s="42"/>
      <c r="H66" s="42"/>
      <c r="I66" s="42"/>
      <c r="J66" s="42"/>
      <c r="K66" s="42"/>
    </row>
    <row r="90" ht="9.6" customHeight="1" x14ac:dyDescent="0.3"/>
  </sheetData>
  <sheetProtection formatRows="0" insertRows="0" selectLockedCells="1"/>
  <mergeCells count="24">
    <mergeCell ref="F52:I52"/>
    <mergeCell ref="K61:K62"/>
    <mergeCell ref="F61:F62"/>
    <mergeCell ref="G61:G62"/>
    <mergeCell ref="H61:H62"/>
    <mergeCell ref="I61:I62"/>
    <mergeCell ref="J61:J62"/>
    <mergeCell ref="F8:F9"/>
    <mergeCell ref="G8:G9"/>
    <mergeCell ref="H8:I8"/>
    <mergeCell ref="J8:J9"/>
    <mergeCell ref="K8:K9"/>
    <mergeCell ref="F20:I20"/>
    <mergeCell ref="K29:K30"/>
    <mergeCell ref="F41:F42"/>
    <mergeCell ref="G41:G42"/>
    <mergeCell ref="H41:I41"/>
    <mergeCell ref="F29:F30"/>
    <mergeCell ref="G29:G30"/>
    <mergeCell ref="H29:H30"/>
    <mergeCell ref="I29:I30"/>
    <mergeCell ref="J29:J30"/>
    <mergeCell ref="J41:J42"/>
    <mergeCell ref="K41:K42"/>
  </mergeCells>
  <dataValidations count="1">
    <dataValidation type="list" allowBlank="1" showInputMessage="1" showErrorMessage="1" sqref="K43:K52 K10:K20" xr:uid="{1F037DF3-AC12-461B-81BA-636A62F9B923}">
      <formula1>"PASSED,FAILED"</formula1>
    </dataValidation>
  </dataValidations>
  <pageMargins left="0.15" right="0" top="0.25" bottom="0.1" header="0.3" footer="0.3"/>
  <pageSetup paperSize="5" scale="60" fitToHeight="0" orientation="portrait" horizontalDpi="4294967293" r:id="rId1"/>
  <colBreaks count="3" manualBreakCount="3">
    <brk id="6" min="3" max="89" man="1"/>
    <brk id="7" min="3" max="89" man="1"/>
    <brk id="9" min="3" max="89" man="1"/>
  </colBreaks>
  <ignoredErrors>
    <ignoredError sqref="G4" unlockedFormula="1"/>
  </ignoredErrors>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2862B2FF-A37A-45AF-9566-0EB35BE7E2DE}">
  <ds:schemaRefs/>
</ds:datastoreItem>
</file>

<file path=customXml/itemProps2.xml><?xml version="1.0" encoding="utf-8"?>
<ds:datastoreItem xmlns:ds="http://schemas.openxmlformats.org/officeDocument/2006/customXml" ds:itemID="{761C7CCB-8C34-4A63-A77F-873AF27C493C}">
  <ds:schemaRefs/>
</ds:datastoreItem>
</file>

<file path=customXml/itemProps3.xml><?xml version="1.0" encoding="utf-8"?>
<ds:datastoreItem xmlns:ds="http://schemas.openxmlformats.org/officeDocument/2006/customXml" ds:itemID="{07CD29CB-4771-4CFA-B10E-F558FCA7A883}">
  <ds:schemaRefs/>
</ds:datastoreItem>
</file>

<file path=customXml/itemProps4.xml><?xml version="1.0" encoding="utf-8"?>
<ds:datastoreItem xmlns:ds="http://schemas.openxmlformats.org/officeDocument/2006/customXml" ds:itemID="{28CE3D14-2BAF-437E-A98D-8F9CE76D01E7}">
  <ds:schemaRefs/>
</ds:datastoreItem>
</file>

<file path=customXml/itemProps5.xml><?xml version="1.0" encoding="utf-8"?>
<ds:datastoreItem xmlns:ds="http://schemas.openxmlformats.org/officeDocument/2006/customXml" ds:itemID="{41876842-1009-4387-820A-C722BE57D9A2}">
  <ds:schemaRefs/>
</ds:datastoreItem>
</file>

<file path=customXml/itemProps6.xml><?xml version="1.0" encoding="utf-8"?>
<ds:datastoreItem xmlns:ds="http://schemas.openxmlformats.org/officeDocument/2006/customXml" ds:itemID="{196FD29F-5681-42F6-BFE2-2546D05DD816}">
  <ds:schemaRefs/>
</ds:datastoreItem>
</file>

<file path=customXml/itemProps7.xml><?xml version="1.0" encoding="utf-8"?>
<ds:datastoreItem xmlns:ds="http://schemas.openxmlformats.org/officeDocument/2006/customXml" ds:itemID="{80514D92-7510-4DEF-8562-1D8FAED5093A}">
  <ds:schemaRefs>
    <ds:schemaRef ds:uri="http://schemas.microsoft.com/DataMashup"/>
  </ds:schemaRefs>
</ds:datastoreItem>
</file>

<file path=customXml/itemProps8.xml><?xml version="1.0" encoding="utf-8"?>
<ds:datastoreItem xmlns:ds="http://schemas.openxmlformats.org/officeDocument/2006/customXml" ds:itemID="{C953FC10-4227-4197-ABE1-6A7ED00C7C99}">
  <ds:schemaRefs/>
</ds:datastoreItem>
</file>

<file path=customXml/itemProps9.xml><?xml version="1.0" encoding="utf-8"?>
<ds:datastoreItem xmlns:ds="http://schemas.openxmlformats.org/officeDocument/2006/customXml" ds:itemID="{657F44BF-97D6-45DD-A174-8D883E24FA16}">
  <ds:schemaRefs/>
</ds:datastoreItem>
</file>

<file path=customXml/itemProps10.xml><?xml version="1.0" encoding="utf-8"?>
<ds:datastoreItem xmlns:ds="http://schemas.openxmlformats.org/officeDocument/2006/customXml" ds:itemID="{EF2A7568-4EF1-48A9-9A82-858002D84757}">
  <ds:schemaRefs/>
</ds:datastoreItem>
</file>

<file path=customXml/itemProps11.xml><?xml version="1.0" encoding="utf-8"?>
<ds:datastoreItem xmlns:ds="http://schemas.openxmlformats.org/officeDocument/2006/customXml" ds:itemID="{3E268FC6-921B-4416-B6AC-386C41E0CBF7}">
  <ds:schemaRefs/>
</ds:datastoreItem>
</file>

<file path=customXml/itemProps12.xml><?xml version="1.0" encoding="utf-8"?>
<ds:datastoreItem xmlns:ds="http://schemas.openxmlformats.org/officeDocument/2006/customXml" ds:itemID="{D68E7D6A-E055-4456-9988-690F8361103A}">
  <ds:schemaRefs/>
</ds:datastoreItem>
</file>

<file path=customXml/itemProps13.xml><?xml version="1.0" encoding="utf-8"?>
<ds:datastoreItem xmlns:ds="http://schemas.openxmlformats.org/officeDocument/2006/customXml" ds:itemID="{F8A785A8-7B1D-4397-A790-F50434BA95AF}">
  <ds:schemaRefs/>
</ds:datastoreItem>
</file>

<file path=customXml/itemProps14.xml><?xml version="1.0" encoding="utf-8"?>
<ds:datastoreItem xmlns:ds="http://schemas.openxmlformats.org/officeDocument/2006/customXml" ds:itemID="{421DC8F7-A8A0-4ACC-B445-42BCF4CB7A33}">
  <ds:schemaRefs/>
</ds:datastoreItem>
</file>

<file path=customXml/itemProps15.xml><?xml version="1.0" encoding="utf-8"?>
<ds:datastoreItem xmlns:ds="http://schemas.openxmlformats.org/officeDocument/2006/customXml" ds:itemID="{CB840421-C315-475D-B535-43923168E92E}">
  <ds:schemaRefs/>
</ds:datastoreItem>
</file>

<file path=customXml/itemProps16.xml><?xml version="1.0" encoding="utf-8"?>
<ds:datastoreItem xmlns:ds="http://schemas.openxmlformats.org/officeDocument/2006/customXml" ds:itemID="{EF1E2045-C45F-43F4-84D2-3822768D3735}">
  <ds:schemaRefs/>
</ds:datastoreItem>
</file>

<file path=customXml/itemProps17.xml><?xml version="1.0" encoding="utf-8"?>
<ds:datastoreItem xmlns:ds="http://schemas.openxmlformats.org/officeDocument/2006/customXml" ds:itemID="{5B08B788-A5E4-4676-98A5-1A2936FB171C}">
  <ds:schemaRefs/>
</ds:datastoreItem>
</file>

<file path=customXml/itemProps18.xml><?xml version="1.0" encoding="utf-8"?>
<ds:datastoreItem xmlns:ds="http://schemas.openxmlformats.org/officeDocument/2006/customXml" ds:itemID="{52437577-472A-46DB-81B4-A50F426619B3}">
  <ds:schemaRefs/>
</ds:datastoreItem>
</file>

<file path=customXml/itemProps19.xml><?xml version="1.0" encoding="utf-8"?>
<ds:datastoreItem xmlns:ds="http://schemas.openxmlformats.org/officeDocument/2006/customXml" ds:itemID="{4665149E-475B-4355-B5FC-15DB02062906}">
  <ds:schemaRefs/>
</ds:datastoreItem>
</file>

<file path=customXml/itemProps20.xml><?xml version="1.0" encoding="utf-8"?>
<ds:datastoreItem xmlns:ds="http://schemas.openxmlformats.org/officeDocument/2006/customXml" ds:itemID="{C688D1EE-0D38-46D3-9ED5-360F6F7D138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66</vt:i4>
      </vt:variant>
    </vt:vector>
  </HeadingPairs>
  <TitlesOfParts>
    <vt:vector size="73" baseType="lpstr">
      <vt:lpstr>GENERAL_INFORMATION</vt:lpstr>
      <vt:lpstr>LEARNERS_INFORMATION</vt:lpstr>
      <vt:lpstr>DATA_INPUT</vt:lpstr>
      <vt:lpstr>SCHOOL_FORM_9</vt:lpstr>
      <vt:lpstr>SCHOOL_FORM_9_page2</vt:lpstr>
      <vt:lpstr>SCHOOL_FORM_10_g11_only</vt:lpstr>
      <vt:lpstr>SCHOOL_FORM_10_g12_only </vt:lpstr>
      <vt:lpstr>AdmissionDate</vt:lpstr>
      <vt:lpstr>Adviser</vt:lpstr>
      <vt:lpstr>Age</vt:lpstr>
      <vt:lpstr>LEARNERS_INFORMATION!Date_of_Birth</vt:lpstr>
      <vt:lpstr>LEARNERS_INFORMATION!Date_of_SHS_Admission</vt:lpstr>
      <vt:lpstr>DOB</vt:lpstr>
      <vt:lpstr>LEARNERS_INFORMATION!First_Name</vt:lpstr>
      <vt:lpstr>FirstName</vt:lpstr>
      <vt:lpstr>Grade_Level</vt:lpstr>
      <vt:lpstr>LEARNERS_INFORMATION!Last_Name</vt:lpstr>
      <vt:lpstr>LastName</vt:lpstr>
      <vt:lpstr>Lookup_Student_Name</vt:lpstr>
      <vt:lpstr>LRN</vt:lpstr>
      <vt:lpstr>LRN_SF10</vt:lpstr>
      <vt:lpstr>LEARNERS_INFORMATION!Middle_Name</vt:lpstr>
      <vt:lpstr>MiddleName</vt:lpstr>
      <vt:lpstr>month_1</vt:lpstr>
      <vt:lpstr>month_10</vt:lpstr>
      <vt:lpstr>month_11</vt:lpstr>
      <vt:lpstr>month_2</vt:lpstr>
      <vt:lpstr>month_3</vt:lpstr>
      <vt:lpstr>month_4</vt:lpstr>
      <vt:lpstr>month_5</vt:lpstr>
      <vt:lpstr>month_6</vt:lpstr>
      <vt:lpstr>month_7</vt:lpstr>
      <vt:lpstr>month_8</vt:lpstr>
      <vt:lpstr>month_9</vt:lpstr>
      <vt:lpstr>SCHOOL_FORM_10_g11_only!Print_Area</vt:lpstr>
      <vt:lpstr>'SCHOOL_FORM_10_g12_only '!Print_Area</vt:lpstr>
      <vt:lpstr>SCHOOL_FORM_9!Print_Area</vt:lpstr>
      <vt:lpstr>SCHOOL_FORM_9_page2!Print_Area</vt:lpstr>
      <vt:lpstr>School_ID</vt:lpstr>
      <vt:lpstr>School_Name</vt:lpstr>
      <vt:lpstr>School_Principal</vt:lpstr>
      <vt:lpstr>School_Year</vt:lpstr>
      <vt:lpstr>Section</vt:lpstr>
      <vt:lpstr>sem1_average</vt:lpstr>
      <vt:lpstr>sem1_sub1</vt:lpstr>
      <vt:lpstr>sem1_sub1_range</vt:lpstr>
      <vt:lpstr>sem1_sub10</vt:lpstr>
      <vt:lpstr>sem1_sub11</vt:lpstr>
      <vt:lpstr>sem1_sub12</vt:lpstr>
      <vt:lpstr>sem1_sub2</vt:lpstr>
      <vt:lpstr>sem1_sub3</vt:lpstr>
      <vt:lpstr>sem1_sub4</vt:lpstr>
      <vt:lpstr>sem1_sub5</vt:lpstr>
      <vt:lpstr>sem1_sub6</vt:lpstr>
      <vt:lpstr>sem1_sub7</vt:lpstr>
      <vt:lpstr>sem1_sub8</vt:lpstr>
      <vt:lpstr>sem1_sub9</vt:lpstr>
      <vt:lpstr>sem2_average</vt:lpstr>
      <vt:lpstr>sem2_sub1</vt:lpstr>
      <vt:lpstr>sem2_sub10</vt:lpstr>
      <vt:lpstr>sem2_sub2</vt:lpstr>
      <vt:lpstr>sem2_sub3</vt:lpstr>
      <vt:lpstr>sem2_sub4</vt:lpstr>
      <vt:lpstr>sem2_sub5</vt:lpstr>
      <vt:lpstr>sem2_sub6</vt:lpstr>
      <vt:lpstr>sem2_sub7</vt:lpstr>
      <vt:lpstr>sem2_sub8</vt:lpstr>
      <vt:lpstr>sem2_sub9</vt:lpstr>
      <vt:lpstr>Sex</vt:lpstr>
      <vt:lpstr>Sex_SF10</vt:lpstr>
      <vt:lpstr>Strand</vt:lpstr>
      <vt:lpstr>Student_FullName</vt:lpstr>
      <vt:lpstr>Track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James Rhode Salac</cp:lastModifiedBy>
  <cp:lastPrinted>2024-04-19T01:36:07Z</cp:lastPrinted>
  <dcterms:created xsi:type="dcterms:W3CDTF">2015-06-05T18:17:20Z</dcterms:created>
  <dcterms:modified xsi:type="dcterms:W3CDTF">2025-10-18T05:18:19Z</dcterms:modified>
</cp:coreProperties>
</file>